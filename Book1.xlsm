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nrad\OneDrive\Desktop\GrandTour\python\py-ics-parser\"/>
    </mc:Choice>
  </mc:AlternateContent>
  <xr:revisionPtr revIDLastSave="0" documentId="13_ncr:1_{53A17CCF-2A0E-409E-9FFE-B7CF9F5D59E0}" xr6:coauthVersionLast="47" xr6:coauthVersionMax="47" xr10:uidLastSave="{00000000-0000-0000-0000-000000000000}"/>
  <bookViews>
    <workbookView xWindow="-108" yWindow="-108" windowWidth="23256" windowHeight="13176" activeTab="2" xr2:uid="{A55C37E2-BDBD-4C01-8831-02E636CA1EC2}"/>
  </bookViews>
  <sheets>
    <sheet name="Sheet1" sheetId="1" r:id="rId1"/>
    <sheet name="Sheet2" sheetId="2" r:id="rId2"/>
    <sheet name="Sheet6" sheetId="6" r:id="rId3"/>
    <sheet name="Sheet4" sheetId="4" r:id="rId4"/>
    <sheet name="Sheet3" sheetId="3" r:id="rId5"/>
    <sheet name="Sheet5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7" i="6" l="1" a="1"/>
  <c r="P57" i="6" l="1"/>
  <c r="P56" i="6" a="1"/>
  <c r="P56" i="6"/>
  <c r="P55" i="6" a="1"/>
  <c r="P55" i="6"/>
  <c r="P54" i="6" a="1"/>
  <c r="P54" i="6"/>
  <c r="P53" i="6" a="1"/>
  <c r="P53" i="6"/>
  <c r="P52" i="6" a="1"/>
  <c r="P52" i="6"/>
  <c r="P51" i="6" a="1"/>
  <c r="P51" i="6"/>
  <c r="P50" i="6" a="1"/>
  <c r="P50" i="6"/>
  <c r="P49" i="6" a="1"/>
  <c r="P49" i="6"/>
  <c r="P48" i="6" a="1"/>
  <c r="P48" i="6"/>
  <c r="P47" i="6" a="1"/>
  <c r="P47" i="6"/>
  <c r="P46" i="6" a="1"/>
  <c r="P46" i="6"/>
  <c r="P45" i="6" a="1"/>
  <c r="P45" i="6"/>
  <c r="P44" i="6" a="1"/>
  <c r="P44" i="6"/>
  <c r="P43" i="6" a="1"/>
  <c r="P43" i="6"/>
  <c r="P42" i="6" a="1"/>
  <c r="P42" i="6"/>
  <c r="P41" i="6" a="1"/>
  <c r="P41" i="6"/>
  <c r="P40" i="6" a="1"/>
  <c r="P40" i="6"/>
  <c r="P39" i="6" a="1"/>
  <c r="P39" i="6"/>
  <c r="P38" i="6" a="1"/>
  <c r="P38" i="6"/>
  <c r="P37" i="6" a="1"/>
  <c r="P37" i="6"/>
  <c r="P36" i="6" a="1"/>
  <c r="P36" i="6"/>
  <c r="P35" i="6" a="1"/>
  <c r="P35" i="6"/>
  <c r="P34" i="6" a="1"/>
  <c r="P34" i="6"/>
  <c r="P33" i="6" a="1"/>
  <c r="P33" i="6"/>
  <c r="P32" i="6" a="1"/>
  <c r="P32" i="6"/>
  <c r="P31" i="6" a="1"/>
  <c r="P31" i="6"/>
  <c r="P30" i="6" a="1"/>
  <c r="P30" i="6"/>
  <c r="P29" i="6" a="1"/>
  <c r="P29" i="6"/>
  <c r="P28" i="6" a="1"/>
  <c r="P28" i="6"/>
  <c r="P27" i="6" a="1"/>
  <c r="P27" i="6"/>
  <c r="P26" i="6" a="1"/>
  <c r="P26" i="6"/>
  <c r="P25" i="6" a="1"/>
  <c r="P25" i="6"/>
  <c r="P24" i="6" a="1"/>
  <c r="P24" i="6"/>
  <c r="P23" i="6" a="1"/>
  <c r="P23" i="6"/>
  <c r="P22" i="6" a="1"/>
  <c r="P22" i="6"/>
  <c r="P21" i="6" a="1"/>
  <c r="P21" i="6"/>
  <c r="P20" i="6" a="1"/>
  <c r="P20" i="6"/>
  <c r="P19" i="6" a="1"/>
  <c r="P19" i="6"/>
  <c r="P18" i="6" a="1"/>
  <c r="P18" i="6"/>
  <c r="P17" i="6" a="1"/>
  <c r="P17" i="6"/>
  <c r="P16" i="6" a="1"/>
  <c r="P16" i="6"/>
  <c r="P15" i="6" a="1"/>
  <c r="P15" i="6"/>
  <c r="P14" i="6" a="1"/>
  <c r="P14" i="6"/>
  <c r="P13" i="6" a="1"/>
  <c r="P13" i="6"/>
  <c r="P12" i="6" a="1"/>
  <c r="P12" i="6"/>
  <c r="P11" i="6" a="1"/>
  <c r="P11" i="6"/>
  <c r="P10" i="6" a="1"/>
  <c r="P10" i="6"/>
  <c r="P9" i="6" a="1"/>
  <c r="P9" i="6"/>
  <c r="P8" i="6" a="1"/>
  <c r="P8" i="6"/>
  <c r="P7" i="6" a="1"/>
  <c r="P7" i="6"/>
  <c r="P6" i="6" a="1"/>
  <c r="P6" i="6"/>
  <c r="P5" i="6" a="1"/>
  <c r="P5" i="6"/>
  <c r="P4" i="6" a="1"/>
  <c r="P4" i="6"/>
  <c r="O57" i="6" a="1"/>
  <c r="O57" i="6"/>
  <c r="O56" i="6" a="1"/>
  <c r="O56" i="6"/>
  <c r="O55" i="6" a="1"/>
  <c r="O55" i="6"/>
  <c r="O54" i="6" a="1"/>
  <c r="O54" i="6"/>
  <c r="O53" i="6" a="1"/>
  <c r="O53" i="6"/>
  <c r="O52" i="6" a="1"/>
  <c r="O52" i="6"/>
  <c r="O51" i="6" a="1"/>
  <c r="O51" i="6"/>
  <c r="O50" i="6" a="1"/>
  <c r="O50" i="6"/>
  <c r="O49" i="6" a="1"/>
  <c r="O49" i="6"/>
  <c r="O48" i="6" a="1"/>
  <c r="O48" i="6"/>
  <c r="O47" i="6" a="1"/>
  <c r="O47" i="6"/>
  <c r="O46" i="6" a="1"/>
  <c r="O46" i="6"/>
  <c r="O45" i="6" a="1"/>
  <c r="O45" i="6"/>
  <c r="O44" i="6" a="1"/>
  <c r="O44" i="6"/>
  <c r="O43" i="6" a="1"/>
  <c r="O43" i="6"/>
  <c r="O42" i="6" a="1"/>
  <c r="O42" i="6"/>
  <c r="O41" i="6" a="1"/>
  <c r="O41" i="6"/>
  <c r="O40" i="6" a="1"/>
  <c r="O40" i="6"/>
  <c r="O39" i="6" a="1"/>
  <c r="O39" i="6"/>
  <c r="O38" i="6" a="1"/>
  <c r="O38" i="6"/>
  <c r="O37" i="6" a="1"/>
  <c r="O37" i="6"/>
  <c r="O36" i="6" a="1"/>
  <c r="O36" i="6"/>
  <c r="O35" i="6" a="1"/>
  <c r="O35" i="6"/>
  <c r="O34" i="6" a="1"/>
  <c r="O34" i="6"/>
  <c r="O33" i="6" a="1"/>
  <c r="O33" i="6"/>
  <c r="O32" i="6" a="1"/>
  <c r="O32" i="6"/>
  <c r="O31" i="6" a="1"/>
  <c r="O31" i="6"/>
  <c r="O30" i="6" a="1"/>
  <c r="O30" i="6"/>
  <c r="O29" i="6" a="1"/>
  <c r="O29" i="6"/>
  <c r="O28" i="6" a="1"/>
  <c r="O28" i="6"/>
  <c r="O27" i="6" a="1"/>
  <c r="O27" i="6"/>
  <c r="O26" i="6" a="1"/>
  <c r="O26" i="6"/>
  <c r="O25" i="6" a="1"/>
  <c r="O25" i="6"/>
  <c r="O24" i="6" a="1"/>
  <c r="O24" i="6"/>
  <c r="O23" i="6" a="1"/>
  <c r="O23" i="6"/>
  <c r="O22" i="6" a="1"/>
  <c r="O22" i="6"/>
  <c r="O21" i="6" a="1"/>
  <c r="O21" i="6"/>
  <c r="O20" i="6" a="1"/>
  <c r="O20" i="6"/>
  <c r="O19" i="6" a="1"/>
  <c r="O19" i="6"/>
  <c r="O18" i="6" a="1"/>
  <c r="O18" i="6"/>
  <c r="O17" i="6" a="1"/>
  <c r="O17" i="6"/>
  <c r="O16" i="6" a="1"/>
  <c r="O16" i="6"/>
  <c r="O15" i="6" a="1"/>
  <c r="O15" i="6"/>
  <c r="O14" i="6" a="1"/>
  <c r="O14" i="6"/>
  <c r="O13" i="6" a="1"/>
  <c r="O13" i="6"/>
  <c r="O12" i="6" a="1"/>
  <c r="O12" i="6"/>
  <c r="O11" i="6" a="1"/>
  <c r="O11" i="6"/>
  <c r="O10" i="6" a="1"/>
  <c r="O10" i="6"/>
  <c r="O9" i="6" a="1"/>
  <c r="O9" i="6"/>
  <c r="O8" i="6" a="1"/>
  <c r="O8" i="6"/>
  <c r="O7" i="6" a="1"/>
  <c r="O7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1" i="6"/>
  <c r="N52" i="6"/>
  <c r="N53" i="6"/>
  <c r="N54" i="6"/>
  <c r="N55" i="6"/>
  <c r="N56" i="6"/>
  <c r="N57" i="6"/>
  <c r="N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1" i="6"/>
  <c r="M52" i="6"/>
  <c r="M53" i="6"/>
  <c r="M54" i="6"/>
  <c r="M55" i="6"/>
  <c r="M56" i="6"/>
  <c r="M57" i="6"/>
  <c r="M4" i="6"/>
  <c r="F8" i="4" s="1"/>
  <c r="A11" i="4" s="1"/>
  <c r="K42" i="6"/>
  <c r="K43" i="6"/>
  <c r="K44" i="6"/>
  <c r="K45" i="6"/>
  <c r="K47" i="6"/>
  <c r="K48" i="6"/>
  <c r="K49" i="6"/>
  <c r="K51" i="6"/>
  <c r="K52" i="6"/>
  <c r="K53" i="6"/>
  <c r="K54" i="6"/>
  <c r="K55" i="6"/>
  <c r="K56" i="6"/>
  <c r="K57" i="6"/>
  <c r="K28" i="6"/>
  <c r="K30" i="6"/>
  <c r="K31" i="6"/>
  <c r="K32" i="6"/>
  <c r="K33" i="6"/>
  <c r="K34" i="6"/>
  <c r="K35" i="6"/>
  <c r="K39" i="6"/>
  <c r="K17" i="6"/>
  <c r="K18" i="6"/>
  <c r="K19" i="6"/>
  <c r="K20" i="6"/>
  <c r="K21" i="6"/>
  <c r="K22" i="6"/>
  <c r="K23" i="6"/>
  <c r="K24" i="6"/>
  <c r="K26" i="6"/>
  <c r="K27" i="6"/>
  <c r="K6" i="6"/>
  <c r="K7" i="6"/>
  <c r="K9" i="6"/>
  <c r="K10" i="6"/>
  <c r="K11" i="6"/>
  <c r="K12" i="6"/>
  <c r="K13" i="6"/>
  <c r="K14" i="6"/>
  <c r="K15" i="6"/>
  <c r="K16" i="6"/>
  <c r="K4" i="6"/>
  <c r="L7" i="6"/>
  <c r="L8" i="6"/>
  <c r="L10" i="6"/>
  <c r="L15" i="6"/>
  <c r="L17" i="6"/>
  <c r="L22" i="6"/>
  <c r="L23" i="6"/>
  <c r="L28" i="6"/>
  <c r="L29" i="6"/>
  <c r="L37" i="6"/>
  <c r="L38" i="6"/>
  <c r="L39" i="6"/>
  <c r="L40" i="6"/>
  <c r="L42" i="6"/>
  <c r="L43" i="6"/>
  <c r="L45" i="6"/>
  <c r="L51" i="6"/>
  <c r="L52" i="6"/>
  <c r="L53" i="6"/>
  <c r="L56" i="6"/>
  <c r="L5" i="6"/>
  <c r="J14" i="6"/>
  <c r="J43" i="6"/>
  <c r="J11" i="6"/>
  <c r="I11" i="6"/>
  <c r="L11" i="6" s="1"/>
  <c r="I26" i="6"/>
  <c r="L26" i="6" s="1"/>
  <c r="G5" i="6" a="1"/>
  <c r="G5" i="6" s="1"/>
  <c r="G6" i="6" a="1"/>
  <c r="G6" i="6" s="1"/>
  <c r="G7" i="6" a="1"/>
  <c r="J7" i="6" s="1"/>
  <c r="G8" i="6" a="1"/>
  <c r="G8" i="6" s="1"/>
  <c r="G9" i="6" a="1"/>
  <c r="G9" i="6" s="1"/>
  <c r="G10" i="6" a="1"/>
  <c r="G10" i="6" s="1"/>
  <c r="G12" i="6" a="1"/>
  <c r="G12" i="6" s="1"/>
  <c r="G13" i="6" a="1"/>
  <c r="G13" i="6" s="1"/>
  <c r="G14" i="6" a="1"/>
  <c r="G14" i="6" s="1"/>
  <c r="G15" i="6" a="1"/>
  <c r="G15" i="6" s="1"/>
  <c r="G16" i="6" a="1"/>
  <c r="G16" i="6" s="1"/>
  <c r="G17" i="6" a="1"/>
  <c r="G17" i="6" s="1"/>
  <c r="G18" i="6" a="1"/>
  <c r="G18" i="6" s="1"/>
  <c r="G19" i="6" a="1"/>
  <c r="G19" i="6" s="1"/>
  <c r="G20" i="6" a="1"/>
  <c r="G20" i="6" s="1"/>
  <c r="G21" i="6" a="1"/>
  <c r="G21" i="6" s="1"/>
  <c r="G22" i="6" a="1"/>
  <c r="G22" i="6" s="1"/>
  <c r="G23" i="6" a="1"/>
  <c r="G23" i="6" s="1"/>
  <c r="G24" i="6" a="1"/>
  <c r="G24" i="6" s="1"/>
  <c r="G25" i="6" a="1"/>
  <c r="G25" i="6" s="1"/>
  <c r="G26" i="6" a="1"/>
  <c r="G26" i="6" s="1"/>
  <c r="G27" i="6" a="1"/>
  <c r="G27" i="6" s="1"/>
  <c r="G28" i="6" a="1"/>
  <c r="G28" i="6" s="1"/>
  <c r="G29" i="6" a="1"/>
  <c r="G29" i="6" s="1"/>
  <c r="G30" i="6" a="1"/>
  <c r="G30" i="6" s="1"/>
  <c r="G31" i="6" a="1"/>
  <c r="I31" i="6" s="1"/>
  <c r="L31" i="6" s="1"/>
  <c r="G32" i="6" a="1"/>
  <c r="G32" i="6" s="1"/>
  <c r="G33" i="6" a="1"/>
  <c r="G33" i="6" s="1"/>
  <c r="G34" i="6" a="1"/>
  <c r="G34" i="6" s="1"/>
  <c r="G35" i="6" a="1"/>
  <c r="G35" i="6" s="1"/>
  <c r="G36" i="6" a="1"/>
  <c r="G36" i="6" s="1"/>
  <c r="K36" i="6" s="1"/>
  <c r="G37" i="6" a="1"/>
  <c r="G37" i="6" s="1"/>
  <c r="K37" i="6" s="1"/>
  <c r="G38" i="6" a="1"/>
  <c r="G38" i="6" s="1"/>
  <c r="K38" i="6" s="1"/>
  <c r="G39" i="6" a="1"/>
  <c r="G39" i="6" s="1"/>
  <c r="G40" i="6" a="1"/>
  <c r="G40" i="6" s="1"/>
  <c r="K40" i="6" s="1"/>
  <c r="G41" i="6" a="1"/>
  <c r="G41" i="6" s="1"/>
  <c r="K41" i="6" s="1"/>
  <c r="G42" i="6" a="1"/>
  <c r="G42" i="6" s="1"/>
  <c r="G44" i="6" a="1"/>
  <c r="G44" i="6" s="1"/>
  <c r="G45" i="6" a="1"/>
  <c r="G45" i="6" s="1"/>
  <c r="G46" i="6" a="1"/>
  <c r="G46" i="6" s="1"/>
  <c r="K46" i="6" s="1"/>
  <c r="G47" i="6" a="1"/>
  <c r="G47" i="6" s="1"/>
  <c r="G48" i="6" a="1"/>
  <c r="G48" i="6" s="1"/>
  <c r="G49" i="6" a="1"/>
  <c r="G49" i="6" s="1"/>
  <c r="G50" i="6" a="1"/>
  <c r="G50" i="6" s="1"/>
  <c r="K50" i="6" s="1"/>
  <c r="M50" i="6" s="1"/>
  <c r="G51" i="6" a="1"/>
  <c r="G51" i="6" s="1"/>
  <c r="G52" i="6" a="1"/>
  <c r="G52" i="6" s="1"/>
  <c r="G53" i="6" a="1"/>
  <c r="G53" i="6" s="1"/>
  <c r="G54" i="6" a="1"/>
  <c r="G54" i="6" s="1"/>
  <c r="G55" i="6" a="1"/>
  <c r="G55" i="6" s="1"/>
  <c r="G56" i="6" a="1"/>
  <c r="G56" i="6" s="1"/>
  <c r="G57" i="6" a="1"/>
  <c r="G57" i="6" s="1"/>
  <c r="G4" i="6" a="1"/>
  <c r="G4" i="6" s="1"/>
  <c r="G8" i="4"/>
  <c r="G7" i="4"/>
  <c r="F7" i="4"/>
  <c r="F6" i="4" a="1"/>
  <c r="F6" i="4" s="1"/>
  <c r="C2" i="2" a="1"/>
  <c r="C2" i="2" s="1"/>
  <c r="O4" i="6" a="1"/>
  <c r="O5" i="6" a="1"/>
  <c r="O6" i="6" a="1"/>
  <c r="F15" i="4" a="1"/>
  <c r="F14" i="4" a="1"/>
  <c r="G15" i="4" a="1"/>
  <c r="D12" i="4" a="1"/>
  <c r="O4" i="6" l="1"/>
  <c r="O6" i="6"/>
  <c r="O5" i="6"/>
  <c r="I41" i="6"/>
  <c r="L41" i="6" s="1"/>
  <c r="J38" i="6"/>
  <c r="I13" i="6"/>
  <c r="L13" i="6" s="1"/>
  <c r="I50" i="6"/>
  <c r="L50" i="6" s="1"/>
  <c r="N50" i="6" s="1"/>
  <c r="J48" i="6"/>
  <c r="J18" i="6"/>
  <c r="I48" i="6"/>
  <c r="L48" i="6" s="1"/>
  <c r="J46" i="6"/>
  <c r="J16" i="6"/>
  <c r="I16" i="6"/>
  <c r="L16" i="6" s="1"/>
  <c r="I33" i="6"/>
  <c r="L33" i="6" s="1"/>
  <c r="I14" i="6"/>
  <c r="L14" i="6" s="1"/>
  <c r="J12" i="6"/>
  <c r="J30" i="6"/>
  <c r="J26" i="6"/>
  <c r="J6" i="6"/>
  <c r="J24" i="6"/>
  <c r="I55" i="6"/>
  <c r="L55" i="6" s="1"/>
  <c r="J54" i="6"/>
  <c r="J22" i="6"/>
  <c r="I25" i="6"/>
  <c r="L25" i="6" s="1"/>
  <c r="I35" i="6"/>
  <c r="L35" i="6" s="1"/>
  <c r="J56" i="6"/>
  <c r="J40" i="6"/>
  <c r="J32" i="6"/>
  <c r="I24" i="6"/>
  <c r="L24" i="6" s="1"/>
  <c r="I12" i="6"/>
  <c r="L12" i="6" s="1"/>
  <c r="L49" i="6"/>
  <c r="I34" i="6"/>
  <c r="L34" i="6" s="1"/>
  <c r="J55" i="6"/>
  <c r="J47" i="6"/>
  <c r="J39" i="6"/>
  <c r="J31" i="6"/>
  <c r="J23" i="6"/>
  <c r="J15" i="6"/>
  <c r="G31" i="6"/>
  <c r="G7" i="6"/>
  <c r="I20" i="6"/>
  <c r="L20" i="6" s="1"/>
  <c r="I9" i="6"/>
  <c r="L9" i="6" s="1"/>
  <c r="L47" i="6"/>
  <c r="I32" i="6"/>
  <c r="L32" i="6" s="1"/>
  <c r="J9" i="6"/>
  <c r="J53" i="6"/>
  <c r="J45" i="6"/>
  <c r="J37" i="6"/>
  <c r="J29" i="6"/>
  <c r="J21" i="6"/>
  <c r="J5" i="6"/>
  <c r="I21" i="6"/>
  <c r="L21" i="6" s="1"/>
  <c r="J10" i="6"/>
  <c r="I19" i="6"/>
  <c r="L19" i="6" s="1"/>
  <c r="I6" i="6"/>
  <c r="L6" i="6" s="1"/>
  <c r="L46" i="6"/>
  <c r="J8" i="6"/>
  <c r="J52" i="6"/>
  <c r="J44" i="6"/>
  <c r="J36" i="6"/>
  <c r="J28" i="6"/>
  <c r="J20" i="6"/>
  <c r="I18" i="6"/>
  <c r="L18" i="6" s="1"/>
  <c r="I57" i="6"/>
  <c r="L57" i="6" s="1"/>
  <c r="L44" i="6"/>
  <c r="I30" i="6"/>
  <c r="L30" i="6" s="1"/>
  <c r="J51" i="6"/>
  <c r="J35" i="6"/>
  <c r="J27" i="6"/>
  <c r="J19" i="6"/>
  <c r="I27" i="6"/>
  <c r="L27" i="6" s="1"/>
  <c r="J50" i="6"/>
  <c r="J42" i="6"/>
  <c r="J34" i="6"/>
  <c r="I54" i="6"/>
  <c r="L54" i="6" s="1"/>
  <c r="I36" i="6"/>
  <c r="L36" i="6" s="1"/>
  <c r="J13" i="6"/>
  <c r="J57" i="6"/>
  <c r="J49" i="6"/>
  <c r="J41" i="6"/>
  <c r="J33" i="6"/>
  <c r="J25" i="6"/>
  <c r="J17" i="6"/>
  <c r="B2" i="3" a="1"/>
  <c r="B2" i="3" s="1"/>
  <c r="G15" i="4"/>
  <c r="F15" i="4"/>
  <c r="F14" i="4"/>
  <c r="D1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<sst xmlns="http://schemas.openxmlformats.org/spreadsheetml/2006/main" count="451" uniqueCount="141">
  <si>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</si>
  <si>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</si>
  <si>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</si>
  <si>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</si>
  <si>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</si>
  <si>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</si>
  <si>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</si>
  <si>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</si>
  <si>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Mon</t>
  </si>
  <si>
    <t>Grand Tour Opening: TBC</t>
  </si>
  <si>
    <t>The Uni</t>
  </si>
  <si>
    <t>930-1230</t>
  </si>
  <si>
    <t>Intro to the Module. Lecture</t>
  </si>
  <si>
    <t>Barbs &amp; Kévin</t>
  </si>
  <si>
    <t>2-330pm</t>
  </si>
  <si>
    <t>Professional Coaching Tools MC</t>
  </si>
  <si>
    <r>
      <t>Kévin</t>
    </r>
    <r>
      <rPr>
        <sz val="10"/>
        <color rgb="FF000000"/>
        <rFont val="PT Sans"/>
        <family val="2"/>
        <charset val="238"/>
      </rPr>
      <t> </t>
    </r>
  </si>
  <si>
    <t>930-1030am</t>
  </si>
  <si>
    <t>Professional Coaching Tools WS</t>
  </si>
  <si>
    <t>1030-1230pm</t>
  </si>
  <si>
    <t>Human Potential Part 1 MC</t>
  </si>
  <si>
    <t>Human Potential Part 1 WS</t>
  </si>
  <si>
    <t>930am-1130am</t>
  </si>
  <si>
    <t>Barbs</t>
  </si>
  <si>
    <t>1130am-1pm</t>
  </si>
  <si>
    <t>930-11am</t>
  </si>
  <si>
    <t>Kévin</t>
  </si>
  <si>
    <t>1130-2pm</t>
  </si>
  <si>
    <t>SLS</t>
  </si>
  <si>
    <t>930-1pm</t>
  </si>
  <si>
    <t>Pitch Presentation</t>
  </si>
  <si>
    <t>930-1230pm</t>
  </si>
  <si>
    <t>Tues</t>
  </si>
  <si>
    <t>Module Intro Workshop</t>
  </si>
  <si>
    <t>930-1130am</t>
  </si>
  <si>
    <t>930-1130</t>
  </si>
  <si>
    <t>SLS Pitch Ideas </t>
  </si>
  <si>
    <t>Kévin &amp; Barbs</t>
  </si>
  <si>
    <t>1130-130pm</t>
  </si>
  <si>
    <t>Human Potential Part 2 MC</t>
  </si>
  <si>
    <t>Human Potential Part 2 WS</t>
  </si>
  <si>
    <t>Hesdy </t>
  </si>
  <si>
    <t>7am-12pm</t>
  </si>
  <si>
    <t>Emotional Intelligence MC</t>
  </si>
  <si>
    <t>130-3pm</t>
  </si>
  <si>
    <t>Coaching WS Peak States</t>
  </si>
  <si>
    <t>High Performing Habits WS</t>
  </si>
  <si>
    <t>10am-12pm TBA</t>
  </si>
  <si>
    <t>Lavinia Iosub</t>
  </si>
  <si>
    <t>1230-2pm TBA</t>
  </si>
  <si>
    <t>930-12noon</t>
  </si>
  <si>
    <t>Wed</t>
  </si>
  <si>
    <t>Intro Coaching &amp; Leadership</t>
  </si>
  <si>
    <t>Values WS</t>
  </si>
  <si>
    <t>Mark &amp; Budi</t>
  </si>
  <si>
    <t>12-1230pm</t>
  </si>
  <si>
    <t>Coaching WS 3 Coaching Demo</t>
  </si>
  <si>
    <t>930-1230noon</t>
  </si>
  <si>
    <t>Conscious Communication MC+WS</t>
  </si>
  <si>
    <t>930am-1230noon</t>
  </si>
  <si>
    <t>Conflict Management MC</t>
  </si>
  <si>
    <t>Juna Mustad c/o BM</t>
  </si>
  <si>
    <t>Conflict Management WS</t>
  </si>
  <si>
    <t>Thurs</t>
  </si>
  <si>
    <t>Assignments Q&amp;A</t>
  </si>
  <si>
    <t>1130-12noon</t>
  </si>
  <si>
    <t>930-1030</t>
  </si>
  <si>
    <t>1030-12noon</t>
  </si>
  <si>
    <t>Presentations Skills MC</t>
  </si>
  <si>
    <t>GL: Felix Schaefer</t>
  </si>
  <si>
    <t>Personal Brand (WS) Presentation Skills </t>
  </si>
  <si>
    <t>Visa Document Submission in Lobby: </t>
  </si>
  <si>
    <t>Hesdy</t>
  </si>
  <si>
    <t>1230-115 pm</t>
  </si>
  <si>
    <t>Field trip # 4 CSR</t>
  </si>
  <si>
    <t>With the EIA group</t>
  </si>
  <si>
    <t>830-12noon TBA</t>
  </si>
  <si>
    <t>-</t>
  </si>
  <si>
    <t>Adjourning Team Huddle</t>
  </si>
  <si>
    <t>Fri</t>
  </si>
  <si>
    <t>9am-4pm</t>
  </si>
  <si>
    <t>Personality Profiling– MC Myers Briggs</t>
  </si>
  <si>
    <t>GL: Dian</t>
  </si>
  <si>
    <t>Myers Briggs (MBTI) WS</t>
  </si>
  <si>
    <t>9-330pm</t>
  </si>
  <si>
    <t>9-12noon</t>
  </si>
  <si>
    <t>(Pick-up at 730am for the students)</t>
  </si>
  <si>
    <t>Date</t>
  </si>
  <si>
    <t>Time</t>
  </si>
  <si>
    <t>Holiday</t>
  </si>
  <si>
    <t>ICL Class Team review &amp; Peer coaching</t>
  </si>
  <si>
    <t>Team dynamics  MC</t>
  </si>
  <si>
    <t>Team Building  WS</t>
  </si>
  <si>
    <t>Intro Team Dvlp High Performing Teams ***2pm class with EIA</t>
  </si>
  <si>
    <t>WS Group Norms</t>
  </si>
  <si>
    <t>Immigration visit</t>
  </si>
  <si>
    <t>Peer Coaching 1: Coaching Skills</t>
  </si>
  <si>
    <t>ONLINE on CAMPUS - Inspirational Talk: The Future of Work </t>
  </si>
  <si>
    <t>Values MC</t>
  </si>
  <si>
    <t>Peer Coaching 2: Coaching Skills</t>
  </si>
  <si>
    <t>Barbs:</t>
  </si>
  <si>
    <t>3-430pm</t>
  </si>
  <si>
    <t xml:space="preserve">Watch Group Assignments </t>
  </si>
  <si>
    <t>Pre-recorded</t>
  </si>
  <si>
    <t xml:space="preserve">2pm - 4pm </t>
  </si>
  <si>
    <t>HOLIDAY</t>
  </si>
  <si>
    <t>Ikigai  MC</t>
  </si>
  <si>
    <t>Human (Maslow) Motivation  MC </t>
  </si>
  <si>
    <t>PB WS3  Ikigai</t>
  </si>
  <si>
    <t>Field Trip # 1 - Bali Village</t>
  </si>
  <si>
    <t>Field trip # 2 - Five elements</t>
  </si>
  <si>
    <t>Field trip # 5 - Bali Meditation Center</t>
  </si>
  <si>
    <t>Week</t>
  </si>
  <si>
    <t>Description</t>
  </si>
  <si>
    <t>Who</t>
  </si>
  <si>
    <t>Description2</t>
  </si>
  <si>
    <t>Who2</t>
  </si>
  <si>
    <t>Time2</t>
  </si>
  <si>
    <t>Description3</t>
  </si>
  <si>
    <t>Who3</t>
  </si>
  <si>
    <t>Time3</t>
  </si>
  <si>
    <t>Mid-term evaluation | Date and time TBC</t>
  </si>
  <si>
    <t>start</t>
  </si>
  <si>
    <t>end</t>
  </si>
  <si>
    <t>20050404T080000</t>
  </si>
  <si>
    <t>20230424T093000</t>
  </si>
  <si>
    <t>End</t>
  </si>
  <si>
    <t>Start</t>
  </si>
  <si>
    <t>20230425T123000</t>
  </si>
  <si>
    <t>Kévin </t>
  </si>
  <si>
    <t>none</t>
  </si>
  <si>
    <t>0100-2400</t>
  </si>
  <si>
    <t>1130-1pm</t>
  </si>
  <si>
    <t>700-12pm</t>
  </si>
  <si>
    <t>300-430pm</t>
  </si>
  <si>
    <t>1000-12pm TBA</t>
  </si>
  <si>
    <t>0100-2359</t>
  </si>
  <si>
    <t>time-start</t>
  </si>
  <si>
    <t>time-end</t>
  </si>
  <si>
    <t>formatted-timestamp</t>
  </si>
  <si>
    <t>formatted timestamp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</si>
</sst>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h:mm;@"/>
    <numFmt numFmtId="166" formatCode="yyyy\-mm\-dd;@"/>
    <numFmt numFmtId="168" formatCode="yyyymmdd"/>
  </numFmts>
  <fonts count="10">
    <font>
      <sz val="11"/>
      <color theme="1"/>
      <name val="Calibri"/>
      <family val="2"/>
      <charset val="238"/>
      <scheme val="minor"/>
    </font>
    <font>
      <b/>
      <sz val="10"/>
      <color rgb="FF000000"/>
      <name val="PT Sans"/>
      <family val="2"/>
      <charset val="238"/>
    </font>
    <font>
      <sz val="10"/>
      <color rgb="FF000000"/>
      <name val="PT Sans"/>
      <family val="2"/>
      <charset val="238"/>
    </font>
    <font>
      <i/>
      <sz val="10"/>
      <color rgb="FFFF0000"/>
      <name val="PT Sans"/>
      <family val="2"/>
      <charset val="238"/>
    </font>
    <font>
      <i/>
      <sz val="10"/>
      <color rgb="FF980000"/>
      <name val="PT Sans"/>
      <family val="2"/>
      <charset val="238"/>
    </font>
    <font>
      <i/>
      <sz val="10"/>
      <color rgb="FF000000"/>
      <name val="PT Sans"/>
      <family val="2"/>
      <charset val="238"/>
    </font>
    <font>
      <b/>
      <sz val="8"/>
      <color rgb="FF000000"/>
      <name val="PT Sans"/>
      <family val="2"/>
      <charset val="238"/>
    </font>
    <font>
      <sz val="10"/>
      <name val="PT Sans"/>
      <family val="2"/>
      <charset val="238"/>
    </font>
    <font>
      <sz val="10"/>
      <color theme="1"/>
      <name val="Arial Unicode MS"/>
    </font>
    <font>
      <sz val="8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34343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 applyAlignment="1">
      <alignment vertical="top" wrapText="1"/>
    </xf>
    <xf numFmtId="0" fontId="1" fillId="2" borderId="1" xfId="0" applyFont="1" applyFill="1" applyBorder="1" applyAlignment="1">
      <alignment vertical="center" wrapText="1"/>
    </xf>
    <xf numFmtId="16" fontId="2" fillId="0" borderId="5" xfId="0" applyNumberFormat="1" applyFont="1" applyBorder="1" applyAlignment="1">
      <alignment vertical="center" wrapText="1"/>
    </xf>
    <xf numFmtId="0" fontId="0" fillId="0" borderId="6" xfId="0" applyBorder="1" applyAlignment="1">
      <alignment vertical="top" wrapText="1"/>
    </xf>
    <xf numFmtId="0" fontId="1" fillId="0" borderId="6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0" fillId="0" borderId="7" xfId="0" applyBorder="1" applyAlignment="1">
      <alignment vertical="top" wrapText="1"/>
    </xf>
    <xf numFmtId="0" fontId="5" fillId="0" borderId="6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vertical="top" wrapText="1"/>
    </xf>
    <xf numFmtId="0" fontId="6" fillId="4" borderId="1" xfId="0" applyFont="1" applyFill="1" applyBorder="1" applyAlignment="1">
      <alignment vertical="center" wrapText="1"/>
    </xf>
    <xf numFmtId="16" fontId="6" fillId="4" borderId="1" xfId="0" applyNumberFormat="1" applyFont="1" applyFill="1" applyBorder="1" applyAlignment="1">
      <alignment vertical="center" wrapText="1"/>
    </xf>
    <xf numFmtId="164" fontId="2" fillId="0" borderId="6" xfId="0" applyNumberFormat="1" applyFont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vertical="center" wrapText="1"/>
    </xf>
    <xf numFmtId="16" fontId="1" fillId="2" borderId="5" xfId="0" applyNumberFormat="1" applyFont="1" applyFill="1" applyBorder="1" applyAlignment="1">
      <alignment vertical="center" wrapText="1"/>
    </xf>
    <xf numFmtId="0" fontId="7" fillId="0" borderId="6" xfId="0" applyFont="1" applyBorder="1" applyAlignment="1">
      <alignment horizontal="left" vertical="top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8" fillId="0" borderId="0" xfId="0" applyFont="1" applyAlignment="1">
      <alignment vertical="center"/>
    </xf>
    <xf numFmtId="166" fontId="0" fillId="0" borderId="0" xfId="0" applyNumberFormat="1"/>
    <xf numFmtId="0" fontId="1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vertical="center" wrapText="1"/>
    </xf>
    <xf numFmtId="168" fontId="0" fillId="0" borderId="0" xfId="0" applyNumberFormat="1"/>
  </cellXfs>
  <cellStyles count="1">
    <cellStyle name="Normal" xfId="0" builtinId="0"/>
  </cellStyles>
  <dxfs count="2">
    <dxf>
      <numFmt numFmtId="168" formatCode="yyyymmdd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9A89B7-2C4C-49E3-871E-AB76CC620DD9}" name="Table1" displayName="Table1" ref="C3:F57" totalsRowShown="0">
  <autoFilter ref="C3:F57" xr:uid="{B19A89B7-2C4C-49E3-871E-AB76CC620DD9}"/>
  <sortState xmlns:xlrd2="http://schemas.microsoft.com/office/spreadsheetml/2017/richdata2" ref="C4:F57">
    <sortCondition ref="C3:C57"/>
  </sortState>
  <tableColumns count="4">
    <tableColumn id="1" xr3:uid="{2CD595E5-CBA7-40FA-A019-F1A7D02AFB8A}" name="Date" dataDxfId="0"/>
    <tableColumn id="2" xr3:uid="{53F90CA7-5537-48DD-9283-699B396F489E}" name="Description" dataDxfId="1"/>
    <tableColumn id="3" xr3:uid="{3BF3B777-A55E-4D0A-AC21-0288E880C453}" name="Who"/>
    <tableColumn id="4" xr3:uid="{74511973-A896-4E58-9EEF-677E4F18A361}" name="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3E9E-9E8F-4105-AC13-8A364ED1FDC2}">
  <sheetPr codeName="Sheet1"/>
  <dimension ref="B2:J46"/>
  <sheetViews>
    <sheetView topLeftCell="A16" workbookViewId="0">
      <selection activeCell="A28" sqref="A28:XFD28"/>
    </sheetView>
  </sheetViews>
  <sheetFormatPr defaultRowHeight="14.4"/>
  <cols>
    <col min="2" max="2" width="5.6640625" bestFit="1" customWidth="1"/>
    <col min="3" max="3" width="15.88671875" bestFit="1" customWidth="1"/>
    <col min="4" max="4" width="15.21875" bestFit="1" customWidth="1"/>
    <col min="5" max="5" width="15.77734375" bestFit="1" customWidth="1"/>
    <col min="6" max="6" width="14.109375" bestFit="1" customWidth="1"/>
    <col min="7" max="7" width="14.6640625" bestFit="1" customWidth="1"/>
    <col min="8" max="8" width="14.109375" bestFit="1" customWidth="1"/>
    <col min="9" max="10" width="12.88671875" bestFit="1" customWidth="1"/>
  </cols>
  <sheetData>
    <row r="2" spans="2:10">
      <c r="B2" s="29"/>
      <c r="C2" s="30"/>
      <c r="D2" s="30"/>
      <c r="E2" s="30"/>
      <c r="F2" s="30"/>
      <c r="G2" s="30"/>
      <c r="H2" s="30"/>
      <c r="I2" s="30"/>
      <c r="J2" s="31"/>
    </row>
    <row r="3" spans="2:10">
      <c r="B3" s="1"/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2" t="s">
        <v>7</v>
      </c>
    </row>
    <row r="4" spans="2:10">
      <c r="B4" s="27" t="s">
        <v>8</v>
      </c>
      <c r="C4" s="3">
        <v>45040</v>
      </c>
      <c r="D4" s="20">
        <v>45047</v>
      </c>
      <c r="E4" s="3">
        <v>45054</v>
      </c>
      <c r="F4" s="3">
        <v>45061</v>
      </c>
      <c r="G4" s="3">
        <v>45068</v>
      </c>
      <c r="H4" s="3">
        <v>45075</v>
      </c>
      <c r="I4" s="3">
        <v>45082</v>
      </c>
      <c r="J4" s="3">
        <v>45089</v>
      </c>
    </row>
    <row r="5" spans="2:10" ht="52.8" customHeight="1">
      <c r="B5" s="28"/>
      <c r="C5" s="5" t="s">
        <v>9</v>
      </c>
      <c r="D5" s="18" t="s">
        <v>89</v>
      </c>
      <c r="E5" s="7" t="s">
        <v>15</v>
      </c>
      <c r="F5" s="7" t="s">
        <v>20</v>
      </c>
      <c r="G5" s="7" t="s">
        <v>90</v>
      </c>
      <c r="H5" s="7" t="s">
        <v>91</v>
      </c>
      <c r="I5" s="5" t="s">
        <v>28</v>
      </c>
      <c r="J5" s="5" t="s">
        <v>30</v>
      </c>
    </row>
    <row r="6" spans="2:10" ht="26.4" customHeight="1">
      <c r="B6" s="28"/>
      <c r="C6" s="6" t="s">
        <v>10</v>
      </c>
      <c r="D6" s="18"/>
      <c r="E6" s="6" t="s">
        <v>16</v>
      </c>
      <c r="F6" s="6" t="s">
        <v>16</v>
      </c>
      <c r="G6" s="6" t="s">
        <v>13</v>
      </c>
      <c r="H6" s="6" t="s">
        <v>23</v>
      </c>
      <c r="I6" s="6" t="s">
        <v>13</v>
      </c>
      <c r="J6" s="6" t="s">
        <v>13</v>
      </c>
    </row>
    <row r="7" spans="2:10">
      <c r="B7" s="28"/>
      <c r="C7" s="17" t="s">
        <v>11</v>
      </c>
      <c r="D7" s="18"/>
      <c r="E7" s="7" t="s">
        <v>17</v>
      </c>
      <c r="F7" s="7" t="s">
        <v>17</v>
      </c>
      <c r="G7" s="7" t="s">
        <v>22</v>
      </c>
      <c r="H7" s="7" t="s">
        <v>25</v>
      </c>
      <c r="I7" s="7" t="s">
        <v>29</v>
      </c>
      <c r="J7" s="7" t="s">
        <v>31</v>
      </c>
    </row>
    <row r="8" spans="2:10" ht="52.8" customHeight="1">
      <c r="B8" s="28"/>
      <c r="C8" s="7" t="s">
        <v>12</v>
      </c>
      <c r="D8" s="18"/>
      <c r="E8" s="7" t="s">
        <v>18</v>
      </c>
      <c r="F8" s="7" t="s">
        <v>21</v>
      </c>
      <c r="G8" s="7" t="s">
        <v>93</v>
      </c>
      <c r="H8" s="7" t="s">
        <v>92</v>
      </c>
      <c r="I8" s="4"/>
      <c r="J8" s="4"/>
    </row>
    <row r="9" spans="2:10" ht="66" customHeight="1">
      <c r="B9" s="28"/>
      <c r="C9" s="6" t="s">
        <v>13</v>
      </c>
      <c r="D9" s="18"/>
      <c r="E9" s="6" t="s">
        <v>16</v>
      </c>
      <c r="F9" s="6" t="s">
        <v>16</v>
      </c>
      <c r="G9" s="6" t="s">
        <v>23</v>
      </c>
      <c r="H9" s="6" t="s">
        <v>26</v>
      </c>
      <c r="I9" s="4"/>
      <c r="J9" s="4"/>
    </row>
    <row r="10" spans="2:10" ht="26.4" customHeight="1">
      <c r="B10" s="28"/>
      <c r="C10" s="7" t="s">
        <v>14</v>
      </c>
      <c r="D10" s="18"/>
      <c r="E10" s="7" t="s">
        <v>19</v>
      </c>
      <c r="F10" s="7" t="s">
        <v>19</v>
      </c>
      <c r="G10" s="7" t="s">
        <v>24</v>
      </c>
      <c r="H10" s="7" t="s">
        <v>27</v>
      </c>
      <c r="I10" s="4"/>
      <c r="J10" s="4"/>
    </row>
    <row r="11" spans="2:10">
      <c r="B11" s="27" t="s">
        <v>32</v>
      </c>
      <c r="C11" s="3">
        <v>45041</v>
      </c>
      <c r="D11" s="3">
        <v>45048</v>
      </c>
      <c r="E11" s="3">
        <v>45055</v>
      </c>
      <c r="F11" s="3">
        <v>45062</v>
      </c>
      <c r="G11" s="3">
        <v>45069</v>
      </c>
      <c r="H11" s="3">
        <v>45076</v>
      </c>
      <c r="I11" s="3">
        <v>45083</v>
      </c>
      <c r="J11" s="3">
        <v>45090</v>
      </c>
    </row>
    <row r="12" spans="2:10" ht="41.4">
      <c r="B12" s="28"/>
      <c r="C12" s="7" t="s">
        <v>33</v>
      </c>
      <c r="D12" s="7" t="s">
        <v>94</v>
      </c>
      <c r="E12" s="7" t="s">
        <v>36</v>
      </c>
      <c r="F12" s="7" t="s">
        <v>39</v>
      </c>
      <c r="G12" s="7" t="s">
        <v>95</v>
      </c>
      <c r="H12" s="7" t="s">
        <v>46</v>
      </c>
      <c r="I12" s="5" t="s">
        <v>28</v>
      </c>
      <c r="J12" s="5" t="s">
        <v>30</v>
      </c>
    </row>
    <row r="13" spans="2:10">
      <c r="B13" s="28"/>
      <c r="C13" s="6" t="s">
        <v>13</v>
      </c>
      <c r="D13" s="6" t="s">
        <v>13</v>
      </c>
      <c r="E13" s="6" t="s">
        <v>23</v>
      </c>
      <c r="F13" s="6" t="s">
        <v>16</v>
      </c>
      <c r="G13" s="6" t="s">
        <v>41</v>
      </c>
      <c r="H13" s="6" t="s">
        <v>23</v>
      </c>
      <c r="I13" s="6" t="s">
        <v>13</v>
      </c>
      <c r="J13" s="6" t="s">
        <v>13</v>
      </c>
    </row>
    <row r="14" spans="2:10" ht="27.6">
      <c r="B14" s="28"/>
      <c r="C14" s="7" t="s">
        <v>34</v>
      </c>
      <c r="D14" s="7" t="s">
        <v>35</v>
      </c>
      <c r="E14" s="7" t="s">
        <v>25</v>
      </c>
      <c r="F14" s="7" t="s">
        <v>17</v>
      </c>
      <c r="G14" s="7" t="s">
        <v>42</v>
      </c>
      <c r="H14" s="7" t="s">
        <v>47</v>
      </c>
      <c r="I14" s="7" t="s">
        <v>50</v>
      </c>
      <c r="J14" s="7" t="s">
        <v>31</v>
      </c>
    </row>
    <row r="15" spans="2:10" ht="69">
      <c r="B15" s="28"/>
      <c r="C15" s="9"/>
      <c r="D15" s="4"/>
      <c r="E15" s="7" t="s">
        <v>96</v>
      </c>
      <c r="F15" s="7" t="s">
        <v>40</v>
      </c>
      <c r="G15" s="7" t="s">
        <v>43</v>
      </c>
      <c r="H15" s="5" t="s">
        <v>97</v>
      </c>
      <c r="I15" s="4"/>
      <c r="J15" s="4"/>
    </row>
    <row r="16" spans="2:10">
      <c r="B16" s="28"/>
      <c r="C16" s="4"/>
      <c r="D16" s="4"/>
      <c r="E16" s="6" t="s">
        <v>37</v>
      </c>
      <c r="F16" s="6" t="s">
        <v>16</v>
      </c>
      <c r="G16" s="6" t="s">
        <v>23</v>
      </c>
      <c r="H16" s="6" t="s">
        <v>48</v>
      </c>
      <c r="I16" s="4"/>
      <c r="J16" s="4"/>
    </row>
    <row r="17" spans="2:10">
      <c r="B17" s="28"/>
      <c r="C17" s="4"/>
      <c r="D17" s="4"/>
      <c r="E17" s="7" t="s">
        <v>38</v>
      </c>
      <c r="F17" s="7" t="s">
        <v>19</v>
      </c>
      <c r="G17" s="7" t="s">
        <v>44</v>
      </c>
      <c r="H17" s="7" t="s">
        <v>49</v>
      </c>
      <c r="I17" s="4"/>
      <c r="J17" s="4"/>
    </row>
    <row r="18" spans="2:10" ht="27.6">
      <c r="B18" s="28"/>
      <c r="C18" s="4"/>
      <c r="D18" s="4"/>
      <c r="F18" s="4"/>
      <c r="G18" s="7" t="s">
        <v>45</v>
      </c>
      <c r="I18" s="4"/>
      <c r="J18" s="4"/>
    </row>
    <row r="19" spans="2:10">
      <c r="B19" s="28"/>
      <c r="C19" s="4"/>
      <c r="D19" s="4"/>
      <c r="F19" s="4"/>
      <c r="G19" s="10" t="s">
        <v>100</v>
      </c>
      <c r="H19" s="4"/>
      <c r="I19" s="4"/>
      <c r="J19" s="4"/>
    </row>
    <row r="20" spans="2:10">
      <c r="B20" s="5"/>
      <c r="C20" s="4"/>
      <c r="D20" s="4"/>
      <c r="F20" s="4"/>
      <c r="G20" s="21" t="s">
        <v>101</v>
      </c>
      <c r="H20" s="4"/>
      <c r="I20" s="4"/>
      <c r="J20" s="4"/>
    </row>
    <row r="21" spans="2:10">
      <c r="B21" s="27" t="s">
        <v>51</v>
      </c>
      <c r="C21" s="3">
        <v>45042</v>
      </c>
      <c r="D21" s="3">
        <v>45049</v>
      </c>
      <c r="E21" s="3">
        <v>45056</v>
      </c>
      <c r="F21" s="3">
        <v>45063</v>
      </c>
      <c r="G21" s="3">
        <v>45070</v>
      </c>
      <c r="H21" s="3">
        <v>45077</v>
      </c>
      <c r="I21" s="3">
        <v>45084</v>
      </c>
      <c r="J21" s="3">
        <v>45091</v>
      </c>
    </row>
    <row r="22" spans="2:10" ht="41.4">
      <c r="B22" s="28"/>
      <c r="C22" s="7" t="s">
        <v>52</v>
      </c>
      <c r="D22" s="7" t="s">
        <v>98</v>
      </c>
      <c r="E22" s="7" t="s">
        <v>99</v>
      </c>
      <c r="F22" s="7" t="s">
        <v>56</v>
      </c>
      <c r="G22" s="7" t="s">
        <v>58</v>
      </c>
      <c r="H22" s="7" t="s">
        <v>60</v>
      </c>
      <c r="I22" s="5" t="s">
        <v>28</v>
      </c>
      <c r="J22" s="5" t="s">
        <v>30</v>
      </c>
    </row>
    <row r="23" spans="2:10" ht="27.6">
      <c r="B23" s="28"/>
      <c r="C23" s="6" t="s">
        <v>23</v>
      </c>
      <c r="D23" s="6" t="s">
        <v>23</v>
      </c>
      <c r="E23" s="6" t="s">
        <v>37</v>
      </c>
      <c r="F23" s="6" t="s">
        <v>16</v>
      </c>
      <c r="G23" s="6" t="s">
        <v>23</v>
      </c>
      <c r="H23" s="6" t="s">
        <v>61</v>
      </c>
      <c r="I23" s="6" t="s">
        <v>13</v>
      </c>
      <c r="J23" s="6" t="s">
        <v>13</v>
      </c>
    </row>
    <row r="24" spans="2:10" ht="27.6">
      <c r="B24" s="28"/>
      <c r="C24" s="7" t="s">
        <v>25</v>
      </c>
      <c r="D24" s="7" t="s">
        <v>17</v>
      </c>
      <c r="E24" s="7" t="s">
        <v>34</v>
      </c>
      <c r="F24" s="7" t="s">
        <v>57</v>
      </c>
      <c r="G24" s="7" t="s">
        <v>59</v>
      </c>
      <c r="H24" s="7" t="s">
        <v>34</v>
      </c>
      <c r="I24" s="7" t="s">
        <v>50</v>
      </c>
      <c r="J24" s="7" t="s">
        <v>50</v>
      </c>
    </row>
    <row r="25" spans="2:10" ht="41.4">
      <c r="B25" s="28"/>
      <c r="C25" s="9" t="s">
        <v>102</v>
      </c>
      <c r="D25" s="7" t="s">
        <v>53</v>
      </c>
      <c r="E25" s="9" t="s">
        <v>121</v>
      </c>
      <c r="F25" s="4"/>
      <c r="G25" s="4"/>
      <c r="H25" s="7" t="s">
        <v>62</v>
      </c>
      <c r="I25" s="4"/>
      <c r="J25" s="4"/>
    </row>
    <row r="26" spans="2:10" ht="27.6">
      <c r="B26" s="28"/>
      <c r="C26" s="11" t="s">
        <v>103</v>
      </c>
      <c r="D26" s="6" t="s">
        <v>23</v>
      </c>
      <c r="E26" s="6" t="s">
        <v>54</v>
      </c>
      <c r="F26" s="4"/>
      <c r="G26" s="4"/>
      <c r="H26" s="6" t="s">
        <v>61</v>
      </c>
      <c r="I26" s="4"/>
      <c r="J26" s="4"/>
    </row>
    <row r="27" spans="2:10">
      <c r="B27" s="28"/>
      <c r="C27" s="4" t="s">
        <v>104</v>
      </c>
      <c r="D27" s="7" t="s">
        <v>19</v>
      </c>
      <c r="E27" s="12" t="s">
        <v>55</v>
      </c>
      <c r="F27" s="4"/>
      <c r="G27" s="4"/>
      <c r="H27" s="7" t="s">
        <v>38</v>
      </c>
      <c r="I27" s="4"/>
      <c r="J27" s="4"/>
    </row>
    <row r="28" spans="2:10">
      <c r="B28" s="27" t="s">
        <v>63</v>
      </c>
      <c r="C28" s="3">
        <v>45043</v>
      </c>
      <c r="D28" s="3">
        <v>45050</v>
      </c>
      <c r="E28" s="3">
        <v>45057</v>
      </c>
      <c r="F28" s="20">
        <v>45064</v>
      </c>
      <c r="G28" s="3">
        <v>45071</v>
      </c>
      <c r="H28" s="20">
        <v>45078</v>
      </c>
      <c r="I28" s="3">
        <v>45085</v>
      </c>
      <c r="J28" s="3">
        <v>45092</v>
      </c>
    </row>
    <row r="29" spans="2:10" ht="27.6">
      <c r="B29" s="28"/>
      <c r="C29" s="7" t="s">
        <v>107</v>
      </c>
      <c r="D29" s="7" t="s">
        <v>106</v>
      </c>
      <c r="E29" s="7" t="s">
        <v>68</v>
      </c>
      <c r="F29" s="18" t="s">
        <v>105</v>
      </c>
      <c r="G29" s="5" t="s">
        <v>74</v>
      </c>
      <c r="H29" s="18" t="s">
        <v>105</v>
      </c>
      <c r="I29" s="7" t="s">
        <v>77</v>
      </c>
      <c r="J29" s="7" t="s">
        <v>78</v>
      </c>
    </row>
    <row r="30" spans="2:10" ht="39.6" customHeight="1">
      <c r="B30" s="28"/>
      <c r="C30" s="6" t="s">
        <v>23</v>
      </c>
      <c r="D30" s="6" t="s">
        <v>23</v>
      </c>
      <c r="E30" s="6" t="s">
        <v>69</v>
      </c>
      <c r="F30" s="18"/>
      <c r="G30" s="5" t="s">
        <v>75</v>
      </c>
      <c r="H30" s="18"/>
      <c r="I30" s="4"/>
      <c r="J30" s="6" t="s">
        <v>13</v>
      </c>
    </row>
    <row r="31" spans="2:10" ht="39.6" customHeight="1">
      <c r="B31" s="28"/>
      <c r="C31" s="7" t="s">
        <v>34</v>
      </c>
      <c r="D31" s="7" t="s">
        <v>66</v>
      </c>
      <c r="E31" s="7" t="s">
        <v>17</v>
      </c>
      <c r="F31" s="18"/>
      <c r="G31" s="6" t="s">
        <v>76</v>
      </c>
      <c r="H31" s="18"/>
      <c r="I31" s="4"/>
      <c r="J31" s="7" t="s">
        <v>34</v>
      </c>
    </row>
    <row r="32" spans="2:10" ht="26.4" customHeight="1">
      <c r="B32" s="28"/>
      <c r="C32" s="7" t="s">
        <v>64</v>
      </c>
      <c r="D32" s="7" t="s">
        <v>108</v>
      </c>
      <c r="E32" s="7" t="s">
        <v>70</v>
      </c>
      <c r="F32" s="18"/>
      <c r="G32" s="4"/>
      <c r="H32" s="18"/>
      <c r="I32" s="4"/>
      <c r="J32" s="4"/>
    </row>
    <row r="33" spans="2:10" ht="26.4" customHeight="1">
      <c r="B33" s="28"/>
      <c r="C33" s="6" t="s">
        <v>23</v>
      </c>
      <c r="D33" s="6" t="s">
        <v>23</v>
      </c>
      <c r="E33" s="6" t="s">
        <v>69</v>
      </c>
      <c r="F33" s="18"/>
      <c r="G33" s="4"/>
      <c r="H33" s="18"/>
      <c r="I33" s="4"/>
      <c r="J33" s="4"/>
    </row>
    <row r="34" spans="2:10" ht="26.4" customHeight="1">
      <c r="B34" s="28"/>
      <c r="C34" s="7" t="s">
        <v>65</v>
      </c>
      <c r="D34" s="7" t="s">
        <v>67</v>
      </c>
      <c r="E34" s="7" t="s">
        <v>19</v>
      </c>
      <c r="F34" s="18"/>
      <c r="G34" s="4"/>
      <c r="H34" s="18"/>
      <c r="I34" s="4"/>
      <c r="J34" s="4"/>
    </row>
    <row r="35" spans="2:10" ht="79.2" customHeight="1">
      <c r="B35" s="28"/>
      <c r="C35" s="4"/>
      <c r="E35" s="7" t="s">
        <v>71</v>
      </c>
      <c r="F35" s="18"/>
      <c r="G35" s="4"/>
      <c r="H35" s="18"/>
      <c r="I35" s="4"/>
      <c r="J35" s="4"/>
    </row>
    <row r="36" spans="2:10">
      <c r="B36" s="28"/>
      <c r="C36" s="4"/>
      <c r="D36" s="4"/>
      <c r="E36" s="6" t="s">
        <v>72</v>
      </c>
      <c r="F36" s="18"/>
      <c r="G36" s="4"/>
      <c r="H36" s="18"/>
      <c r="I36" s="4"/>
      <c r="J36" s="4"/>
    </row>
    <row r="37" spans="2:10" ht="26.4" customHeight="1">
      <c r="B37" s="32"/>
      <c r="C37" s="8"/>
      <c r="D37" s="8"/>
      <c r="E37" s="12" t="s">
        <v>73</v>
      </c>
      <c r="F37" s="19"/>
      <c r="G37" s="8"/>
      <c r="H37" s="19"/>
      <c r="I37" s="8"/>
      <c r="J37" s="8"/>
    </row>
    <row r="38" spans="2:10">
      <c r="B38" s="27" t="s">
        <v>79</v>
      </c>
      <c r="C38" s="3">
        <v>45044</v>
      </c>
      <c r="D38" s="3">
        <v>45051</v>
      </c>
      <c r="E38" s="3">
        <v>45058</v>
      </c>
      <c r="F38" s="3">
        <v>45065</v>
      </c>
      <c r="G38" s="3">
        <v>45072</v>
      </c>
      <c r="H38" s="3">
        <v>45079</v>
      </c>
      <c r="I38" s="3">
        <v>45086</v>
      </c>
      <c r="J38" s="3">
        <v>45093</v>
      </c>
    </row>
    <row r="39" spans="2:10" ht="41.4">
      <c r="B39" s="28"/>
      <c r="C39" s="5" t="s">
        <v>109</v>
      </c>
      <c r="D39" s="7" t="s">
        <v>81</v>
      </c>
      <c r="E39" s="5" t="s">
        <v>110</v>
      </c>
      <c r="F39" s="7" t="s">
        <v>77</v>
      </c>
      <c r="G39" s="5" t="s">
        <v>111</v>
      </c>
      <c r="H39" s="7" t="s">
        <v>77</v>
      </c>
      <c r="I39" s="7" t="s">
        <v>77</v>
      </c>
      <c r="J39" s="7" t="s">
        <v>77</v>
      </c>
    </row>
    <row r="40" spans="2:10">
      <c r="B40" s="28"/>
      <c r="C40" s="6" t="s">
        <v>10</v>
      </c>
      <c r="D40" s="6" t="s">
        <v>82</v>
      </c>
      <c r="E40" s="6" t="s">
        <v>13</v>
      </c>
      <c r="F40" s="4"/>
      <c r="G40" s="6" t="s">
        <v>85</v>
      </c>
      <c r="H40" s="4"/>
      <c r="I40" s="4"/>
      <c r="J40" s="4"/>
    </row>
    <row r="41" spans="2:10" ht="41.4">
      <c r="B41" s="28"/>
      <c r="C41" s="7" t="s">
        <v>80</v>
      </c>
      <c r="D41" s="7" t="s">
        <v>17</v>
      </c>
      <c r="E41" s="7" t="s">
        <v>84</v>
      </c>
      <c r="F41" s="4"/>
      <c r="G41" s="7" t="s">
        <v>86</v>
      </c>
      <c r="H41" s="4"/>
      <c r="I41" s="4"/>
      <c r="J41" s="4"/>
    </row>
    <row r="42" spans="2:10" ht="27.6">
      <c r="B42" s="28"/>
      <c r="D42" s="7" t="s">
        <v>83</v>
      </c>
      <c r="F42" s="4"/>
      <c r="H42" s="4"/>
      <c r="I42" s="4"/>
      <c r="J42" s="4"/>
    </row>
    <row r="43" spans="2:10">
      <c r="B43" s="28"/>
      <c r="C43" s="4"/>
      <c r="D43" s="6" t="s">
        <v>82</v>
      </c>
      <c r="E43" s="4"/>
      <c r="F43" s="4"/>
      <c r="G43" s="4"/>
      <c r="H43" s="4"/>
      <c r="I43" s="4"/>
      <c r="J43" s="4"/>
    </row>
    <row r="44" spans="2:10">
      <c r="B44" s="28"/>
      <c r="C44" s="4"/>
      <c r="D44" s="12" t="s">
        <v>19</v>
      </c>
      <c r="E44" s="4"/>
      <c r="F44" s="4"/>
      <c r="G44" s="4"/>
      <c r="H44" s="4"/>
      <c r="I44" s="4"/>
      <c r="J44" s="4"/>
    </row>
    <row r="45" spans="2:10">
      <c r="B45" s="13"/>
      <c r="C45" s="14"/>
      <c r="D45" s="13"/>
      <c r="E45" s="13"/>
      <c r="F45" s="13"/>
      <c r="G45" s="13"/>
      <c r="H45" s="13"/>
      <c r="I45" s="13"/>
      <c r="J45" s="13"/>
    </row>
    <row r="46" spans="2:10">
      <c r="B46" s="15"/>
      <c r="C46" s="16"/>
      <c r="D46" s="15"/>
      <c r="E46" s="16"/>
      <c r="F46" s="15"/>
      <c r="G46" s="15"/>
      <c r="H46" s="16"/>
      <c r="I46" s="16"/>
      <c r="J46" s="16"/>
    </row>
  </sheetData>
  <mergeCells count="6">
    <mergeCell ref="B38:B44"/>
    <mergeCell ref="B2:J2"/>
    <mergeCell ref="B4:B10"/>
    <mergeCell ref="B11:B19"/>
    <mergeCell ref="B21:B27"/>
    <mergeCell ref="B28:B37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CF763-1FAE-488F-B49F-53A4A276A7F5}">
  <sheetPr codeName="Sheet2"/>
  <dimension ref="C1:AR17"/>
  <sheetViews>
    <sheetView topLeftCell="X1" workbookViewId="0">
      <selection activeCell="AQ18" sqref="AQ18"/>
    </sheetView>
  </sheetViews>
  <sheetFormatPr defaultRowHeight="14.4"/>
  <cols>
    <col min="4" max="4" width="10.109375" bestFit="1" customWidth="1"/>
    <col min="11" max="11" width="10.109375" bestFit="1" customWidth="1"/>
    <col min="21" max="21" width="10.109375" bestFit="1" customWidth="1"/>
    <col min="28" max="29" width="10.109375" bestFit="1" customWidth="1"/>
    <col min="38" max="39" width="10.109375" bestFit="1" customWidth="1"/>
  </cols>
  <sheetData>
    <row r="1" spans="3:44">
      <c r="C1" t="s">
        <v>112</v>
      </c>
      <c r="D1" t="s">
        <v>87</v>
      </c>
      <c r="E1" t="s">
        <v>113</v>
      </c>
      <c r="F1" t="s">
        <v>114</v>
      </c>
      <c r="G1" t="s">
        <v>88</v>
      </c>
      <c r="H1" t="s">
        <v>115</v>
      </c>
      <c r="I1" t="s">
        <v>116</v>
      </c>
      <c r="J1" t="s">
        <v>117</v>
      </c>
      <c r="K1" t="s">
        <v>87</v>
      </c>
      <c r="L1" t="s">
        <v>113</v>
      </c>
      <c r="M1" t="s">
        <v>114</v>
      </c>
      <c r="N1" t="s">
        <v>88</v>
      </c>
      <c r="O1" t="s">
        <v>115</v>
      </c>
      <c r="P1" t="s">
        <v>116</v>
      </c>
      <c r="Q1" t="s">
        <v>117</v>
      </c>
      <c r="R1" t="s">
        <v>118</v>
      </c>
      <c r="S1" t="s">
        <v>119</v>
      </c>
      <c r="T1" t="s">
        <v>120</v>
      </c>
      <c r="U1" t="s">
        <v>87</v>
      </c>
      <c r="V1" t="s">
        <v>113</v>
      </c>
      <c r="W1" t="s">
        <v>114</v>
      </c>
      <c r="X1" t="s">
        <v>88</v>
      </c>
      <c r="Y1" t="s">
        <v>115</v>
      </c>
      <c r="Z1" t="s">
        <v>116</v>
      </c>
      <c r="AA1" t="s">
        <v>117</v>
      </c>
      <c r="AB1" t="s">
        <v>87</v>
      </c>
      <c r="AC1" t="s">
        <v>113</v>
      </c>
      <c r="AD1" t="s">
        <v>114</v>
      </c>
      <c r="AE1" t="s">
        <v>88</v>
      </c>
      <c r="AF1" t="s">
        <v>115</v>
      </c>
      <c r="AG1" t="s">
        <v>116</v>
      </c>
      <c r="AH1" t="s">
        <v>117</v>
      </c>
      <c r="AI1" t="s">
        <v>118</v>
      </c>
      <c r="AJ1" t="s">
        <v>119</v>
      </c>
      <c r="AK1" t="s">
        <v>120</v>
      </c>
      <c r="AL1" t="s">
        <v>87</v>
      </c>
      <c r="AM1" t="s">
        <v>113</v>
      </c>
      <c r="AN1" t="s">
        <v>114</v>
      </c>
      <c r="AO1" t="s">
        <v>88</v>
      </c>
      <c r="AP1" t="s">
        <v>115</v>
      </c>
      <c r="AQ1" t="s">
        <v>116</v>
      </c>
      <c r="AR1" t="s">
        <v>117</v>
      </c>
    </row>
    <row r="2" spans="3:44">
      <c r="C2" cm="1">
        <f t="array" ref="C2:AR10">TRANSPOSE(Sheet1!B3:J44)</f>
        <v>0</v>
      </c>
      <c r="D2" t="str">
        <v>Mon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t="str">
        <v>Tues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str">
        <v>Wed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v>Thurs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 t="str">
        <v>Fri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3:44">
      <c r="C3" t="str">
        <v>Week 1</v>
      </c>
      <c r="D3" s="22">
        <v>45040</v>
      </c>
      <c r="E3" t="str">
        <v>Grand Tour Opening: TBC</v>
      </c>
      <c r="F3" t="str">
        <v>The Uni</v>
      </c>
      <c r="G3" t="str">
        <v>930-1230</v>
      </c>
      <c r="H3" t="str">
        <v>Intro to the Module. Lecture</v>
      </c>
      <c r="I3" t="str">
        <v>Barbs &amp; Kévin</v>
      </c>
      <c r="J3" t="str">
        <v>2-330pm</v>
      </c>
      <c r="K3" s="22">
        <v>45041</v>
      </c>
      <c r="L3" t="str">
        <v>Module Intro Workshop</v>
      </c>
      <c r="M3" t="str">
        <v>Barbs &amp; Kévin</v>
      </c>
      <c r="N3" t="str">
        <v>930-1130am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s="22">
        <v>45042</v>
      </c>
      <c r="V3" t="str">
        <v>Intro Coaching &amp; Leadership</v>
      </c>
      <c r="W3" t="str">
        <v>Barbs</v>
      </c>
      <c r="X3" t="str">
        <v>930-11am</v>
      </c>
      <c r="Y3" t="str">
        <v xml:space="preserve">Watch Group Assignments </v>
      </c>
      <c r="Z3" t="str">
        <v>Pre-recorded</v>
      </c>
      <c r="AA3" t="str">
        <v xml:space="preserve">2pm - 4pm </v>
      </c>
      <c r="AB3" s="22">
        <v>45043</v>
      </c>
      <c r="AC3" s="22" t="str">
        <v>Human (Maslow) Motivation  MC </v>
      </c>
      <c r="AD3" t="str">
        <v>Barbs</v>
      </c>
      <c r="AE3" t="str">
        <v>930-1130am</v>
      </c>
      <c r="AF3" t="str">
        <v>Assignments Q&amp;A</v>
      </c>
      <c r="AG3" t="str">
        <v>Barbs</v>
      </c>
      <c r="AH3" t="str">
        <v>1130-12noon</v>
      </c>
      <c r="AI3">
        <v>0</v>
      </c>
      <c r="AJ3">
        <v>0</v>
      </c>
      <c r="AK3">
        <v>0</v>
      </c>
      <c r="AL3" s="22">
        <v>45044</v>
      </c>
      <c r="AM3" s="22" t="str">
        <v>Field Trip # 1 - Bali Village</v>
      </c>
      <c r="AN3" t="str">
        <v>The Uni</v>
      </c>
      <c r="AO3" t="str">
        <v>9am-4pm</v>
      </c>
      <c r="AP3">
        <v>0</v>
      </c>
      <c r="AQ3">
        <v>0</v>
      </c>
      <c r="AR3">
        <v>0</v>
      </c>
    </row>
    <row r="4" spans="3:44">
      <c r="C4" t="str">
        <v>Week 2</v>
      </c>
      <c r="D4" s="22">
        <v>45047</v>
      </c>
      <c r="E4" t="str">
        <v>Holiday</v>
      </c>
      <c r="F4">
        <v>0</v>
      </c>
      <c r="G4">
        <v>0</v>
      </c>
      <c r="H4">
        <v>0</v>
      </c>
      <c r="I4">
        <v>0</v>
      </c>
      <c r="J4">
        <v>0</v>
      </c>
      <c r="K4" s="22">
        <v>45048</v>
      </c>
      <c r="L4" t="str">
        <v>WS Group Norms</v>
      </c>
      <c r="M4" t="str">
        <v>Barbs &amp; Kévin</v>
      </c>
      <c r="N4" t="str">
        <v>930-1130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s="22">
        <v>45049</v>
      </c>
      <c r="V4" t="str">
        <v>Values MC</v>
      </c>
      <c r="W4" t="str">
        <v>Barbs</v>
      </c>
      <c r="X4" t="str">
        <v>930-1030am</v>
      </c>
      <c r="Y4" t="str">
        <v>Values WS</v>
      </c>
      <c r="Z4" t="str">
        <v>Barbs</v>
      </c>
      <c r="AA4" t="str">
        <v>1030-1230pm</v>
      </c>
      <c r="AB4" s="22">
        <v>45050</v>
      </c>
      <c r="AC4" s="22" t="str">
        <v>Ikigai  MC</v>
      </c>
      <c r="AD4" t="str">
        <v>Barbs</v>
      </c>
      <c r="AE4" t="str">
        <v>930-1030</v>
      </c>
      <c r="AF4" t="str">
        <v>PB WS3  Ikigai</v>
      </c>
      <c r="AG4" t="str">
        <v>Barbs</v>
      </c>
      <c r="AH4" t="str">
        <v>1030-12noon</v>
      </c>
      <c r="AI4">
        <v>0</v>
      </c>
      <c r="AJ4">
        <v>0</v>
      </c>
      <c r="AK4">
        <v>0</v>
      </c>
      <c r="AL4" s="22">
        <v>45051</v>
      </c>
      <c r="AM4" s="22" t="str">
        <v>Personality Profiling– MC Myers Briggs</v>
      </c>
      <c r="AN4" t="str">
        <v>GL: Dian</v>
      </c>
      <c r="AO4" t="str">
        <v>930-1030am</v>
      </c>
      <c r="AP4" t="str">
        <v>Myers Briggs (MBTI) WS</v>
      </c>
      <c r="AQ4" t="str">
        <v>GL: Dian</v>
      </c>
      <c r="AR4" t="str">
        <v>1030-1230pm</v>
      </c>
    </row>
    <row r="5" spans="3:44">
      <c r="C5" t="str">
        <v>Week 3</v>
      </c>
      <c r="D5" s="22">
        <v>45054</v>
      </c>
      <c r="E5" t="str">
        <v>Professional Coaching Tools MC</v>
      </c>
      <c r="F5" t="str">
        <v>Kévin </v>
      </c>
      <c r="G5" t="str">
        <v>930-1030am</v>
      </c>
      <c r="H5" t="str">
        <v>Professional Coaching Tools WS</v>
      </c>
      <c r="I5" t="str">
        <v>Kévin </v>
      </c>
      <c r="J5" t="str">
        <v>1030-1230pm</v>
      </c>
      <c r="K5" s="22">
        <v>45055</v>
      </c>
      <c r="L5" t="str">
        <v>SLS Pitch Ideas </v>
      </c>
      <c r="M5" t="str">
        <v>Barbs</v>
      </c>
      <c r="N5" t="str">
        <v>930-11am</v>
      </c>
      <c r="O5" t="str">
        <v>Peer Coaching 1: Coaching Skills</v>
      </c>
      <c r="P5" t="str">
        <v>Kévin &amp; Barbs</v>
      </c>
      <c r="Q5" t="str">
        <v>1130-130pm</v>
      </c>
      <c r="R5">
        <v>0</v>
      </c>
      <c r="S5">
        <v>0</v>
      </c>
      <c r="T5">
        <v>0</v>
      </c>
      <c r="U5" s="22">
        <v>45056</v>
      </c>
      <c r="V5" t="str">
        <v>Peer Coaching 2: Coaching Skills</v>
      </c>
      <c r="W5" t="str">
        <v>Kévin &amp; Barbs</v>
      </c>
      <c r="X5" t="str">
        <v>930-1130am</v>
      </c>
      <c r="Y5" t="str">
        <v>Mid-term evaluation | Date and time TBC</v>
      </c>
      <c r="Z5" t="str">
        <v>Mark &amp; Budi</v>
      </c>
      <c r="AA5" t="str">
        <v>12-1230pm</v>
      </c>
      <c r="AB5" s="22">
        <v>45057</v>
      </c>
      <c r="AC5" s="22" t="str">
        <v>Presentations Skills MC</v>
      </c>
      <c r="AD5" t="str">
        <v>GL: Felix Schaefer</v>
      </c>
      <c r="AE5" t="str">
        <v>930-1030am</v>
      </c>
      <c r="AF5" t="str">
        <v>Personal Brand (WS) Presentation Skills </v>
      </c>
      <c r="AG5" t="str">
        <v>GL: Felix Schaefer</v>
      </c>
      <c r="AH5" t="str">
        <v>1030-1230pm</v>
      </c>
      <c r="AI5" t="str">
        <v>Visa Document Submission in Lobby: </v>
      </c>
      <c r="AJ5" t="str">
        <v>Hesdy</v>
      </c>
      <c r="AK5" t="str">
        <v>1230-115 pm</v>
      </c>
      <c r="AL5" s="22">
        <v>45058</v>
      </c>
      <c r="AM5" s="22" t="str">
        <v>Field trip # 2 - Five elements</v>
      </c>
      <c r="AN5" t="str">
        <v>Barbs &amp; Kévin</v>
      </c>
      <c r="AO5" t="str">
        <v>9-330pm</v>
      </c>
      <c r="AP5">
        <v>0</v>
      </c>
      <c r="AQ5">
        <v>0</v>
      </c>
      <c r="AR5">
        <v>0</v>
      </c>
    </row>
    <row r="6" spans="3:44">
      <c r="C6" t="str">
        <v>Week 4</v>
      </c>
      <c r="D6" s="22">
        <v>45061</v>
      </c>
      <c r="E6" t="str">
        <v>Human Potential Part 1 MC</v>
      </c>
      <c r="F6" t="str">
        <v>Kévin </v>
      </c>
      <c r="G6" t="str">
        <v>930-1030am</v>
      </c>
      <c r="H6" t="str">
        <v>Human Potential Part 1 WS</v>
      </c>
      <c r="I6" t="str">
        <v>Kévin </v>
      </c>
      <c r="J6" t="str">
        <v>1030-1230pm</v>
      </c>
      <c r="K6" s="22">
        <v>45062</v>
      </c>
      <c r="L6" t="str">
        <v>Human Potential Part 2 MC</v>
      </c>
      <c r="M6" t="str">
        <v>Kévin </v>
      </c>
      <c r="N6" t="str">
        <v>930-1030am</v>
      </c>
      <c r="O6" t="str">
        <v>Human Potential Part 2 WS</v>
      </c>
      <c r="P6" t="str">
        <v>Kévin </v>
      </c>
      <c r="Q6" t="str">
        <v>1030-1230pm</v>
      </c>
      <c r="R6">
        <v>0</v>
      </c>
      <c r="S6">
        <v>0</v>
      </c>
      <c r="T6">
        <v>0</v>
      </c>
      <c r="U6" s="22">
        <v>45063</v>
      </c>
      <c r="V6" t="str">
        <v>Coaching WS 3 Coaching Demo</v>
      </c>
      <c r="W6" t="str">
        <v>Kévin </v>
      </c>
      <c r="X6" t="str">
        <v>930-1230noon</v>
      </c>
      <c r="Y6">
        <v>0</v>
      </c>
      <c r="Z6">
        <v>0</v>
      </c>
      <c r="AA6">
        <v>0</v>
      </c>
      <c r="AB6" s="22">
        <v>45064</v>
      </c>
      <c r="AC6" s="22" t="str">
        <v>HOLIDAY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 s="22">
        <v>45065</v>
      </c>
      <c r="AM6" s="22" t="str">
        <v>-</v>
      </c>
      <c r="AN6">
        <v>0</v>
      </c>
      <c r="AO6">
        <v>0</v>
      </c>
      <c r="AP6">
        <v>0</v>
      </c>
      <c r="AQ6">
        <v>0</v>
      </c>
      <c r="AR6">
        <v>0</v>
      </c>
    </row>
    <row r="7" spans="3:44">
      <c r="C7" t="str">
        <v>Week 5</v>
      </c>
      <c r="D7" s="22">
        <v>45068</v>
      </c>
      <c r="E7" t="str">
        <v>ICL Class Team review &amp; Peer coaching</v>
      </c>
      <c r="F7" t="str">
        <v>Barbs &amp; Kévin</v>
      </c>
      <c r="G7" t="str">
        <v>930am-1130am</v>
      </c>
      <c r="H7" t="str">
        <v>Intro Team Dvlp High Performing Teams ***2pm class with EIA</v>
      </c>
      <c r="I7" t="str">
        <v>Barbs</v>
      </c>
      <c r="J7" t="str">
        <v>1130am-1pm</v>
      </c>
      <c r="K7" s="22">
        <v>45069</v>
      </c>
      <c r="L7" t="str">
        <v>Immigration visit</v>
      </c>
      <c r="M7" t="str">
        <v>Hesdy </v>
      </c>
      <c r="N7" t="str">
        <v>7am-12pm</v>
      </c>
      <c r="O7" t="str">
        <v>Emotional Intelligence MC</v>
      </c>
      <c r="P7" t="str">
        <v>Barbs</v>
      </c>
      <c r="Q7" t="str">
        <v>130-3pm</v>
      </c>
      <c r="R7" t="str">
        <v>Coaching WS Peak States</v>
      </c>
      <c r="S7" t="str">
        <v>Barbs:</v>
      </c>
      <c r="T7" t="str">
        <v>3-430pm</v>
      </c>
      <c r="U7" s="22">
        <v>45070</v>
      </c>
      <c r="V7" t="str">
        <v>Conscious Communication MC+WS</v>
      </c>
      <c r="W7" t="str">
        <v>Barbs</v>
      </c>
      <c r="X7" t="str">
        <v>930am-1230noon</v>
      </c>
      <c r="Y7">
        <v>0</v>
      </c>
      <c r="Z7">
        <v>0</v>
      </c>
      <c r="AA7">
        <v>0</v>
      </c>
      <c r="AB7" s="22">
        <v>45071</v>
      </c>
      <c r="AC7" s="22" t="str">
        <v>Field trip # 4 CSR</v>
      </c>
      <c r="AD7" t="str">
        <v>With the EIA group</v>
      </c>
      <c r="AE7" t="str">
        <v>830-12noon TBA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 s="22">
        <v>45072</v>
      </c>
      <c r="AM7" s="22" t="str">
        <v>Field trip # 5 - Bali Meditation Center</v>
      </c>
      <c r="AN7" t="str">
        <v>9-12noon</v>
      </c>
      <c r="AO7" t="str">
        <v>(Pick-up at 730am for the students)</v>
      </c>
      <c r="AP7">
        <v>0</v>
      </c>
      <c r="AQ7">
        <v>0</v>
      </c>
      <c r="AR7">
        <v>0</v>
      </c>
    </row>
    <row r="8" spans="3:44">
      <c r="C8" t="str">
        <v>Week 6</v>
      </c>
      <c r="D8" s="22">
        <v>45075</v>
      </c>
      <c r="E8" t="str">
        <v>Team dynamics  MC</v>
      </c>
      <c r="F8" t="str">
        <v>Barbs</v>
      </c>
      <c r="G8" t="str">
        <v>930-11am</v>
      </c>
      <c r="H8" t="str">
        <v>Team Building  WS</v>
      </c>
      <c r="I8" t="str">
        <v>Kévin</v>
      </c>
      <c r="J8" t="str">
        <v>1130-2pm</v>
      </c>
      <c r="K8" s="22">
        <v>45076</v>
      </c>
      <c r="L8" t="str">
        <v>High Performing Habits WS</v>
      </c>
      <c r="M8" t="str">
        <v>Barbs</v>
      </c>
      <c r="N8" t="str">
        <v>10am-12pm TBA</v>
      </c>
      <c r="O8" t="str">
        <v>ONLINE on CAMPUS - Inspirational Talk: The Future of Work </v>
      </c>
      <c r="P8" t="str">
        <v>Lavinia Iosub</v>
      </c>
      <c r="Q8" t="str">
        <v>1230-2pm TBA</v>
      </c>
      <c r="R8">
        <v>0</v>
      </c>
      <c r="S8">
        <v>0</v>
      </c>
      <c r="T8">
        <v>0</v>
      </c>
      <c r="U8" s="22">
        <v>45077</v>
      </c>
      <c r="V8" t="str">
        <v>Conflict Management MC</v>
      </c>
      <c r="W8" t="str">
        <v>Juna Mustad c/o BM</v>
      </c>
      <c r="X8" t="str">
        <v>930-1130am</v>
      </c>
      <c r="Y8" t="str">
        <v>Conflict Management WS</v>
      </c>
      <c r="Z8" t="str">
        <v>Juna Mustad c/o BM</v>
      </c>
      <c r="AA8" t="str">
        <v>1130-130pm</v>
      </c>
      <c r="AB8" s="22">
        <v>45078</v>
      </c>
      <c r="AC8" s="22" t="str">
        <v>HOLIDAY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 s="22">
        <v>45079</v>
      </c>
      <c r="AM8" s="22" t="str">
        <v>-</v>
      </c>
      <c r="AN8">
        <v>0</v>
      </c>
      <c r="AO8">
        <v>0</v>
      </c>
      <c r="AP8">
        <v>0</v>
      </c>
      <c r="AQ8">
        <v>0</v>
      </c>
      <c r="AR8">
        <v>0</v>
      </c>
    </row>
    <row r="9" spans="3:44">
      <c r="C9" t="str">
        <v>Week 7</v>
      </c>
      <c r="D9" s="22">
        <v>45082</v>
      </c>
      <c r="E9" t="str">
        <v>SLS</v>
      </c>
      <c r="F9" t="str">
        <v>Barbs &amp; Kévin</v>
      </c>
      <c r="G9" t="str">
        <v>930-1pm</v>
      </c>
      <c r="H9">
        <v>0</v>
      </c>
      <c r="I9">
        <v>0</v>
      </c>
      <c r="J9">
        <v>0</v>
      </c>
      <c r="K9" s="22">
        <v>45083</v>
      </c>
      <c r="L9" t="str">
        <v>SLS</v>
      </c>
      <c r="M9" t="str">
        <v>Barbs &amp; Kévin</v>
      </c>
      <c r="N9" t="str">
        <v>930-12noon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s="22">
        <v>45084</v>
      </c>
      <c r="V9" t="str">
        <v>SLS</v>
      </c>
      <c r="W9" t="str">
        <v>Barbs &amp; Kévin</v>
      </c>
      <c r="X9" t="str">
        <v>930-12noon</v>
      </c>
      <c r="Y9">
        <v>0</v>
      </c>
      <c r="Z9">
        <v>0</v>
      </c>
      <c r="AA9">
        <v>0</v>
      </c>
      <c r="AB9" s="22">
        <v>45085</v>
      </c>
      <c r="AC9" s="22" t="str">
        <v>-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 s="22">
        <v>45086</v>
      </c>
      <c r="AM9" s="22" t="str">
        <v>-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3:44">
      <c r="C10" t="str">
        <v>Week 8</v>
      </c>
      <c r="D10" s="22">
        <v>45089</v>
      </c>
      <c r="E10" t="str">
        <v>Pitch Presentation</v>
      </c>
      <c r="F10" t="str">
        <v>Barbs &amp; Kévin</v>
      </c>
      <c r="G10" t="str">
        <v>930-1230pm</v>
      </c>
      <c r="H10">
        <v>0</v>
      </c>
      <c r="I10">
        <v>0</v>
      </c>
      <c r="J10">
        <v>0</v>
      </c>
      <c r="K10" s="22">
        <v>45090</v>
      </c>
      <c r="L10" t="str">
        <v>Pitch Presentation</v>
      </c>
      <c r="M10" t="str">
        <v>Barbs &amp; Kévin</v>
      </c>
      <c r="N10" t="str">
        <v>930-1230pm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s="22">
        <v>45091</v>
      </c>
      <c r="V10" t="str">
        <v>Pitch Presentation</v>
      </c>
      <c r="W10" t="str">
        <v>Barbs &amp; Kévin</v>
      </c>
      <c r="X10" t="str">
        <v>930-12noon</v>
      </c>
      <c r="Y10">
        <v>0</v>
      </c>
      <c r="Z10">
        <v>0</v>
      </c>
      <c r="AA10">
        <v>0</v>
      </c>
      <c r="AB10" s="22">
        <v>45092</v>
      </c>
      <c r="AC10" s="22" t="str">
        <v>Adjourning Team Huddle</v>
      </c>
      <c r="AD10" t="str">
        <v>Barbs &amp; Kévin</v>
      </c>
      <c r="AE10" t="str">
        <v>930-1130am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 s="22">
        <v>45093</v>
      </c>
      <c r="AM10" s="22" t="str">
        <v>-</v>
      </c>
      <c r="AN10">
        <v>0</v>
      </c>
      <c r="AO10">
        <v>0</v>
      </c>
      <c r="AP10">
        <v>0</v>
      </c>
      <c r="AQ10">
        <v>0</v>
      </c>
      <c r="AR10">
        <v>0</v>
      </c>
    </row>
    <row r="16" spans="3:44">
      <c r="D16">
        <v>45054</v>
      </c>
      <c r="E16" t="s">
        <v>15</v>
      </c>
      <c r="F16" t="s">
        <v>129</v>
      </c>
      <c r="G16" t="s">
        <v>17</v>
      </c>
    </row>
    <row r="17" spans="4:7">
      <c r="D17">
        <v>45054</v>
      </c>
      <c r="E17" t="s">
        <v>18</v>
      </c>
      <c r="F17" t="s">
        <v>129</v>
      </c>
      <c r="G17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7EEA-E097-4068-A8F6-902EA1285258}">
  <dimension ref="C3:P62"/>
  <sheetViews>
    <sheetView tabSelected="1" workbookViewId="0">
      <selection activeCell="F2" sqref="A1:XFD1048576"/>
    </sheetView>
  </sheetViews>
  <sheetFormatPr defaultRowHeight="14.4"/>
  <cols>
    <col min="2" max="2" width="7.109375" bestFit="1" customWidth="1"/>
    <col min="3" max="3" width="10.44140625" customWidth="1"/>
    <col min="4" max="4" width="33.109375" bestFit="1" customWidth="1"/>
    <col min="5" max="5" width="12.109375" bestFit="1" customWidth="1"/>
    <col min="6" max="6" width="13.88671875" bestFit="1" customWidth="1"/>
    <col min="7" max="7" width="13.88671875" customWidth="1"/>
    <col min="8" max="8" width="10.109375" bestFit="1" customWidth="1"/>
    <col min="15" max="15" width="19.88671875" customWidth="1"/>
  </cols>
  <sheetData>
    <row r="3" spans="3:16">
      <c r="C3" s="22" t="s">
        <v>87</v>
      </c>
      <c r="D3" t="s">
        <v>113</v>
      </c>
      <c r="E3" t="s">
        <v>114</v>
      </c>
      <c r="F3" t="s">
        <v>88</v>
      </c>
      <c r="K3" t="s">
        <v>122</v>
      </c>
      <c r="L3" t="s">
        <v>123</v>
      </c>
      <c r="M3" t="s">
        <v>137</v>
      </c>
      <c r="N3" t="s">
        <v>138</v>
      </c>
      <c r="O3" t="s">
        <v>139</v>
      </c>
      <c r="P3" t="s">
        <v>140</v>
      </c>
    </row>
    <row r="4" spans="3:16">
      <c r="C4" s="33">
        <v>45040</v>
      </c>
      <c r="D4" t="s">
        <v>9</v>
      </c>
      <c r="E4" t="s">
        <v>10</v>
      </c>
      <c r="F4" t="s">
        <v>11</v>
      </c>
      <c r="G4" t="str" cm="1">
        <f t="array" ref="G4:H4">_xlfn.TEXTSPLIT(F4,"-")</f>
        <v>930</v>
      </c>
      <c r="H4" t="str">
        <v>1230</v>
      </c>
      <c r="I4">
        <v>1230</v>
      </c>
      <c r="K4" t="str">
        <f>IF((LEN(G4)&lt;4),_xlfn.TEXTJOIN("",FALSE,"0",G4),G4)</f>
        <v>0930</v>
      </c>
      <c r="L4">
        <v>1230</v>
      </c>
      <c r="M4" s="23">
        <f>ROUNDDOWN(K4,-2)/2400 + MOD(K4,100)/1440</f>
        <v>0.39583333333333331</v>
      </c>
      <c r="N4" s="23">
        <f>ROUNDDOWN(L4,-2)/2400 + MOD(L4,100)/1440</f>
        <v>0.52083333333333337</v>
      </c>
      <c r="O4" t="str" cm="1">
        <f t="array" ref="O4">_xlfn.TEXTJOIN("",FALSE,(_xlfn.TEXTSPLIT(DisplayText(C4),"-")),"T",(_xlfn.TEXTSPLIT(DisplayText(M4),":")))</f>
        <v>20230424T093000</v>
      </c>
      <c r="P4" t="str" cm="1">
        <f t="array" ref="P4">_xlfn.TEXTJOIN("",FALSE,(_xlfn.TEXTSPLIT(DisplayText(C4),"-")),"T",(_xlfn.TEXTSPLIT(DisplayText(N4),":")))</f>
        <v>20230424T123000</v>
      </c>
    </row>
    <row r="5" spans="3:16">
      <c r="C5" s="33">
        <v>45040</v>
      </c>
      <c r="D5" t="s">
        <v>12</v>
      </c>
      <c r="E5" t="s">
        <v>13</v>
      </c>
      <c r="F5" t="s">
        <v>14</v>
      </c>
      <c r="G5" t="str" cm="1">
        <f t="array" ref="G5:H5">_xlfn.TEXTSPLIT(F5,"-")</f>
        <v>2</v>
      </c>
      <c r="H5" t="str">
        <v>330pm</v>
      </c>
      <c r="I5">
        <v>1530</v>
      </c>
      <c r="J5" t="b">
        <f>IF(ISNUMBER(SEARCH("am",H5)),TRUE,FALSE)</f>
        <v>0</v>
      </c>
      <c r="K5">
        <v>1400</v>
      </c>
      <c r="L5">
        <f>VALUE(I5)</f>
        <v>1530</v>
      </c>
      <c r="M5" s="23">
        <f t="shared" ref="M5:M57" si="0">ROUNDDOWN(K5,-2)/2400 + MOD(K5,100)/1440</f>
        <v>0.58333333333333337</v>
      </c>
      <c r="N5" s="23">
        <f t="shared" ref="N5:N57" si="1">ROUNDDOWN(L5,-2)/2400 + MOD(L5,100)/1440</f>
        <v>0.64583333333333337</v>
      </c>
      <c r="O5" t="str" cm="1">
        <f t="array" ref="O5">_xlfn.TEXTJOIN("",FALSE,(_xlfn.TEXTSPLIT(DisplayText(C5),"-")),"T",(_xlfn.TEXTSPLIT(DisplayText(M5),":")))</f>
        <v>20230424T140000</v>
      </c>
      <c r="P5" t="str" cm="1">
        <f t="array" ref="P5">_xlfn.TEXTJOIN("",FALSE,(_xlfn.TEXTSPLIT(DisplayText(C5),"-")),"T",(_xlfn.TEXTSPLIT(DisplayText(N5),":")))</f>
        <v>20230424T153000</v>
      </c>
    </row>
    <row r="6" spans="3:16">
      <c r="C6" s="33">
        <v>45041</v>
      </c>
      <c r="D6" t="s">
        <v>33</v>
      </c>
      <c r="E6" t="s">
        <v>13</v>
      </c>
      <c r="F6" t="s">
        <v>34</v>
      </c>
      <c r="G6" t="str" cm="1">
        <f t="array" ref="G6:H6">_xlfn.TEXTSPLIT(F6,"-")</f>
        <v>930</v>
      </c>
      <c r="H6" t="str">
        <v>1130am</v>
      </c>
      <c r="I6" t="str">
        <f t="shared" ref="I6:I57" si="2">IFERROR(LEFT(H6,4),H6)</f>
        <v>1130</v>
      </c>
      <c r="J6" t="b">
        <f t="shared" ref="J6:J57" si="3">IF(ISNUMBER(SEARCH("am",H6)),TRUE,FALSE)</f>
        <v>1</v>
      </c>
      <c r="K6" t="str">
        <f t="shared" ref="K5:K57" si="4">IF((LEN(G6)&lt;4),_xlfn.TEXTJOIN("",FALSE,"0",G6),G6)</f>
        <v>0930</v>
      </c>
      <c r="L6">
        <f t="shared" ref="L6:L57" si="5">VALUE(I6)</f>
        <v>1130</v>
      </c>
      <c r="M6" s="23">
        <f t="shared" si="0"/>
        <v>0.39583333333333331</v>
      </c>
      <c r="N6" s="23">
        <f t="shared" si="1"/>
        <v>0.47916666666666663</v>
      </c>
      <c r="O6" t="str" cm="1">
        <f t="array" ref="O6">_xlfn.TEXTJOIN("",FALSE,(_xlfn.TEXTSPLIT(DisplayText(C6),"-")),"T",(_xlfn.TEXTSPLIT(DisplayText(M6),":")))</f>
        <v>20230425T093000</v>
      </c>
      <c r="P6" t="str" cm="1">
        <f t="array" ref="P6">_xlfn.TEXTJOIN("",FALSE,(_xlfn.TEXTSPLIT(DisplayText(C6),"-")),"T",(_xlfn.TEXTSPLIT(DisplayText(N6),":")))</f>
        <v>20230425T113000</v>
      </c>
    </row>
    <row r="7" spans="3:16">
      <c r="C7" s="33">
        <v>45042</v>
      </c>
      <c r="D7" t="s">
        <v>52</v>
      </c>
      <c r="E7" t="s">
        <v>23</v>
      </c>
      <c r="F7" t="s">
        <v>25</v>
      </c>
      <c r="G7" t="str" cm="1">
        <f t="array" ref="G7:H7">_xlfn.TEXTSPLIT(F7,"-")</f>
        <v>930</v>
      </c>
      <c r="H7" t="str">
        <v>11am</v>
      </c>
      <c r="I7">
        <v>1100</v>
      </c>
      <c r="J7" t="b">
        <f t="shared" si="3"/>
        <v>1</v>
      </c>
      <c r="K7" t="str">
        <f t="shared" si="4"/>
        <v>0930</v>
      </c>
      <c r="L7">
        <f t="shared" si="5"/>
        <v>1100</v>
      </c>
      <c r="M7" s="23">
        <f t="shared" si="0"/>
        <v>0.39583333333333331</v>
      </c>
      <c r="N7" s="23">
        <f t="shared" si="1"/>
        <v>0.45833333333333331</v>
      </c>
      <c r="O7" t="str" cm="1">
        <f t="array" ref="O7">_xlfn.TEXTJOIN("",FALSE,(_xlfn.TEXTSPLIT(DisplayText(C7),"-")),"T",(_xlfn.TEXTSPLIT(DisplayText(M7),":")))</f>
        <v>20230426T093000</v>
      </c>
      <c r="P7" t="str" cm="1">
        <f t="array" ref="P7">_xlfn.TEXTJOIN("",FALSE,(_xlfn.TEXTSPLIT(DisplayText(C7),"-")),"T",(_xlfn.TEXTSPLIT(DisplayText(N7),":")))</f>
        <v>20230426T110000</v>
      </c>
    </row>
    <row r="8" spans="3:16">
      <c r="C8" s="33">
        <v>45042</v>
      </c>
      <c r="D8" t="s">
        <v>102</v>
      </c>
      <c r="E8" t="s">
        <v>103</v>
      </c>
      <c r="F8" t="s">
        <v>104</v>
      </c>
      <c r="G8" t="str" cm="1">
        <f t="array" ref="G8:H8">_xlfn.TEXTSPLIT(F8,"-")</f>
        <v xml:space="preserve">2pm </v>
      </c>
      <c r="H8" t="str">
        <v xml:space="preserve"> 4pm </v>
      </c>
      <c r="I8">
        <v>1600</v>
      </c>
      <c r="J8" t="b">
        <f t="shared" si="3"/>
        <v>0</v>
      </c>
      <c r="K8">
        <v>1400</v>
      </c>
      <c r="L8">
        <f t="shared" si="5"/>
        <v>1600</v>
      </c>
      <c r="M8" s="23">
        <f t="shared" si="0"/>
        <v>0.58333333333333337</v>
      </c>
      <c r="N8" s="23">
        <f t="shared" si="1"/>
        <v>0.66666666666666663</v>
      </c>
      <c r="O8" t="str" cm="1">
        <f t="array" ref="O8">_xlfn.TEXTJOIN("",FALSE,(_xlfn.TEXTSPLIT(DisplayText(C8),"-")),"T",(_xlfn.TEXTSPLIT(DisplayText(M8),":")))</f>
        <v>20230426T140000</v>
      </c>
      <c r="P8" t="str" cm="1">
        <f t="array" ref="P8">_xlfn.TEXTJOIN("",FALSE,(_xlfn.TEXTSPLIT(DisplayText(C8),"-")),"T",(_xlfn.TEXTSPLIT(DisplayText(N8),":")))</f>
        <v>20230426T160000</v>
      </c>
    </row>
    <row r="9" spans="3:16">
      <c r="C9" s="33">
        <v>45043</v>
      </c>
      <c r="D9" s="22" t="s">
        <v>107</v>
      </c>
      <c r="E9" t="s">
        <v>23</v>
      </c>
      <c r="F9" t="s">
        <v>34</v>
      </c>
      <c r="G9" t="str" cm="1">
        <f t="array" ref="G9:H9">_xlfn.TEXTSPLIT(F9,"-")</f>
        <v>930</v>
      </c>
      <c r="H9" t="str">
        <v>1130am</v>
      </c>
      <c r="I9" t="str">
        <f t="shared" si="2"/>
        <v>1130</v>
      </c>
      <c r="J9" t="b">
        <f t="shared" si="3"/>
        <v>1</v>
      </c>
      <c r="K9" t="str">
        <f t="shared" si="4"/>
        <v>0930</v>
      </c>
      <c r="L9">
        <f t="shared" si="5"/>
        <v>1130</v>
      </c>
      <c r="M9" s="23">
        <f t="shared" si="0"/>
        <v>0.39583333333333331</v>
      </c>
      <c r="N9" s="23">
        <f t="shared" si="1"/>
        <v>0.47916666666666663</v>
      </c>
      <c r="O9" t="str" cm="1">
        <f t="array" ref="O9">_xlfn.TEXTJOIN("",FALSE,(_xlfn.TEXTSPLIT(DisplayText(C9),"-")),"T",(_xlfn.TEXTSPLIT(DisplayText(M9),":")))</f>
        <v>20230427T093000</v>
      </c>
      <c r="P9" t="str" cm="1">
        <f t="array" ref="P9">_xlfn.TEXTJOIN("",FALSE,(_xlfn.TEXTSPLIT(DisplayText(C9),"-")),"T",(_xlfn.TEXTSPLIT(DisplayText(N9),":")))</f>
        <v>20230427T113000</v>
      </c>
    </row>
    <row r="10" spans="3:16">
      <c r="C10" s="33">
        <v>45043</v>
      </c>
      <c r="D10" t="s">
        <v>64</v>
      </c>
      <c r="E10" t="s">
        <v>23</v>
      </c>
      <c r="F10" t="s">
        <v>65</v>
      </c>
      <c r="G10" t="str" cm="1">
        <f t="array" ref="G10:H10">_xlfn.TEXTSPLIT(F10,"-")</f>
        <v>1130</v>
      </c>
      <c r="H10" t="str">
        <v>12noon</v>
      </c>
      <c r="I10">
        <v>1200</v>
      </c>
      <c r="J10" t="b">
        <f t="shared" si="3"/>
        <v>0</v>
      </c>
      <c r="K10" t="str">
        <f t="shared" si="4"/>
        <v>1130</v>
      </c>
      <c r="L10">
        <f t="shared" si="5"/>
        <v>1200</v>
      </c>
      <c r="M10" s="23">
        <f t="shared" si="0"/>
        <v>0.47916666666666663</v>
      </c>
      <c r="N10" s="23">
        <f t="shared" si="1"/>
        <v>0.5</v>
      </c>
      <c r="O10" t="str" cm="1">
        <f t="array" ref="O10">_xlfn.TEXTJOIN("",FALSE,(_xlfn.TEXTSPLIT(DisplayText(C10),"-")),"T",(_xlfn.TEXTSPLIT(DisplayText(M10),":")))</f>
        <v>20230427T113000</v>
      </c>
      <c r="P10" t="str" cm="1">
        <f t="array" ref="P10">_xlfn.TEXTJOIN("",FALSE,(_xlfn.TEXTSPLIT(DisplayText(C10),"-")),"T",(_xlfn.TEXTSPLIT(DisplayText(N10),":")))</f>
        <v>20230427T120000</v>
      </c>
    </row>
    <row r="11" spans="3:16">
      <c r="C11" s="33">
        <v>45044</v>
      </c>
      <c r="D11" s="22" t="s">
        <v>109</v>
      </c>
      <c r="E11" t="s">
        <v>10</v>
      </c>
      <c r="F11" t="s">
        <v>80</v>
      </c>
      <c r="G11">
        <v>900</v>
      </c>
      <c r="H11">
        <v>1600</v>
      </c>
      <c r="I11" t="str">
        <f t="shared" si="2"/>
        <v>1600</v>
      </c>
      <c r="J11" t="b">
        <f t="shared" si="3"/>
        <v>0</v>
      </c>
      <c r="K11" t="str">
        <f t="shared" si="4"/>
        <v>0900</v>
      </c>
      <c r="L11">
        <f t="shared" si="5"/>
        <v>1600</v>
      </c>
      <c r="M11" s="23">
        <f t="shared" si="0"/>
        <v>0.375</v>
      </c>
      <c r="N11" s="23">
        <f t="shared" si="1"/>
        <v>0.66666666666666663</v>
      </c>
      <c r="O11" t="str" cm="1">
        <f t="array" ref="O11">_xlfn.TEXTJOIN("",FALSE,(_xlfn.TEXTSPLIT(DisplayText(C11),"-")),"T",(_xlfn.TEXTSPLIT(DisplayText(M11),":")))</f>
        <v>20230428T090000</v>
      </c>
      <c r="P11" t="str" cm="1">
        <f t="array" ref="P11">_xlfn.TEXTJOIN("",FALSE,(_xlfn.TEXTSPLIT(DisplayText(C11),"-")),"T",(_xlfn.TEXTSPLIT(DisplayText(N11),":")))</f>
        <v>20230428T160000</v>
      </c>
    </row>
    <row r="12" spans="3:16">
      <c r="C12" s="33">
        <v>45047</v>
      </c>
      <c r="D12" t="s">
        <v>89</v>
      </c>
      <c r="E12" t="s">
        <v>130</v>
      </c>
      <c r="F12" t="s">
        <v>131</v>
      </c>
      <c r="G12" t="str" cm="1">
        <f t="array" ref="G12:H12">_xlfn.TEXTSPLIT(F12,"-")</f>
        <v>0100</v>
      </c>
      <c r="H12" t="str">
        <v>2400</v>
      </c>
      <c r="I12" t="str">
        <f t="shared" si="2"/>
        <v>2400</v>
      </c>
      <c r="J12" t="b">
        <f t="shared" si="3"/>
        <v>0</v>
      </c>
      <c r="K12" t="str">
        <f t="shared" si="4"/>
        <v>0100</v>
      </c>
      <c r="L12">
        <f t="shared" si="5"/>
        <v>2400</v>
      </c>
      <c r="M12" s="23">
        <f t="shared" si="0"/>
        <v>4.1666666666666664E-2</v>
      </c>
      <c r="N12" s="23">
        <f t="shared" si="1"/>
        <v>1</v>
      </c>
      <c r="O12" t="str" cm="1">
        <f t="array" ref="O12">_xlfn.TEXTJOIN("",FALSE,(_xlfn.TEXTSPLIT(DisplayText(C12),"-")),"T",(_xlfn.TEXTSPLIT(DisplayText(M12),":")))</f>
        <v>20230501T010000</v>
      </c>
      <c r="P12" t="str" cm="1">
        <f t="array" ref="P12">_xlfn.TEXTJOIN("",FALSE,(_xlfn.TEXTSPLIT(DisplayText(C12),"-")),"T",(_xlfn.TEXTSPLIT(DisplayText(N12),":")))</f>
        <v>20230501T000000</v>
      </c>
    </row>
    <row r="13" spans="3:16">
      <c r="C13" s="33">
        <v>45048</v>
      </c>
      <c r="D13" t="s">
        <v>94</v>
      </c>
      <c r="E13" t="s">
        <v>13</v>
      </c>
      <c r="F13" t="s">
        <v>35</v>
      </c>
      <c r="G13" t="str" cm="1">
        <f t="array" ref="G13:H13">_xlfn.TEXTSPLIT(F13,"-")</f>
        <v>930</v>
      </c>
      <c r="H13" t="str">
        <v>1130</v>
      </c>
      <c r="I13" t="str">
        <f t="shared" si="2"/>
        <v>1130</v>
      </c>
      <c r="J13" t="b">
        <f t="shared" si="3"/>
        <v>0</v>
      </c>
      <c r="K13" t="str">
        <f t="shared" si="4"/>
        <v>0930</v>
      </c>
      <c r="L13">
        <f t="shared" si="5"/>
        <v>1130</v>
      </c>
      <c r="M13" s="23">
        <f t="shared" si="0"/>
        <v>0.39583333333333331</v>
      </c>
      <c r="N13" s="23">
        <f t="shared" si="1"/>
        <v>0.47916666666666663</v>
      </c>
      <c r="O13" t="str" cm="1">
        <f t="array" ref="O13">_xlfn.TEXTJOIN("",FALSE,(_xlfn.TEXTSPLIT(DisplayText(C13),"-")),"T",(_xlfn.TEXTSPLIT(DisplayText(M13),":")))</f>
        <v>20230502T093000</v>
      </c>
      <c r="P13" t="str" cm="1">
        <f t="array" ref="P13">_xlfn.TEXTJOIN("",FALSE,(_xlfn.TEXTSPLIT(DisplayText(C13),"-")),"T",(_xlfn.TEXTSPLIT(DisplayText(N13),":")))</f>
        <v>20230502T113000</v>
      </c>
    </row>
    <row r="14" spans="3:16">
      <c r="C14" s="33">
        <v>45049</v>
      </c>
      <c r="D14" t="s">
        <v>98</v>
      </c>
      <c r="E14" t="s">
        <v>23</v>
      </c>
      <c r="F14" t="s">
        <v>17</v>
      </c>
      <c r="G14" t="str" cm="1">
        <f t="array" ref="G14:H14">_xlfn.TEXTSPLIT(F14,"-")</f>
        <v>930</v>
      </c>
      <c r="H14" t="str">
        <v>1030am</v>
      </c>
      <c r="I14" t="str">
        <f t="shared" si="2"/>
        <v>1030</v>
      </c>
      <c r="J14" t="b">
        <f t="shared" si="3"/>
        <v>1</v>
      </c>
      <c r="K14" t="str">
        <f t="shared" si="4"/>
        <v>0930</v>
      </c>
      <c r="L14">
        <f t="shared" si="5"/>
        <v>1030</v>
      </c>
      <c r="M14" s="23">
        <f t="shared" si="0"/>
        <v>0.39583333333333331</v>
      </c>
      <c r="N14" s="23">
        <f t="shared" si="1"/>
        <v>0.4375</v>
      </c>
      <c r="O14" t="str" cm="1">
        <f t="array" ref="O14">_xlfn.TEXTJOIN("",FALSE,(_xlfn.TEXTSPLIT(DisplayText(C14),"-")),"T",(_xlfn.TEXTSPLIT(DisplayText(M14),":")))</f>
        <v>20230503T093000</v>
      </c>
      <c r="P14" t="str" cm="1">
        <f t="array" ref="P14">_xlfn.TEXTJOIN("",FALSE,(_xlfn.TEXTSPLIT(DisplayText(C14),"-")),"T",(_xlfn.TEXTSPLIT(DisplayText(N14),":")))</f>
        <v>20230503T103000</v>
      </c>
    </row>
    <row r="15" spans="3:16">
      <c r="C15" s="33">
        <v>45049</v>
      </c>
      <c r="D15" t="s">
        <v>53</v>
      </c>
      <c r="E15" t="s">
        <v>23</v>
      </c>
      <c r="F15" t="s">
        <v>19</v>
      </c>
      <c r="G15" t="str" cm="1">
        <f t="array" ref="G15:H15">_xlfn.TEXTSPLIT(F15,"-")</f>
        <v>1030</v>
      </c>
      <c r="H15" t="str">
        <v>1230pm</v>
      </c>
      <c r="I15">
        <v>1530</v>
      </c>
      <c r="J15" t="b">
        <f t="shared" si="3"/>
        <v>0</v>
      </c>
      <c r="K15" t="str">
        <f t="shared" si="4"/>
        <v>1030</v>
      </c>
      <c r="L15">
        <f t="shared" si="5"/>
        <v>1530</v>
      </c>
      <c r="M15" s="23">
        <f t="shared" si="0"/>
        <v>0.4375</v>
      </c>
      <c r="N15" s="23">
        <f t="shared" si="1"/>
        <v>0.64583333333333337</v>
      </c>
      <c r="O15" t="str" cm="1">
        <f t="array" ref="O15">_xlfn.TEXTJOIN("",FALSE,(_xlfn.TEXTSPLIT(DisplayText(C15),"-")),"T",(_xlfn.TEXTSPLIT(DisplayText(M15),":")))</f>
        <v>20230503T103000</v>
      </c>
      <c r="P15" t="str" cm="1">
        <f t="array" ref="P15">_xlfn.TEXTJOIN("",FALSE,(_xlfn.TEXTSPLIT(DisplayText(C15),"-")),"T",(_xlfn.TEXTSPLIT(DisplayText(N15),":")))</f>
        <v>20230503T153000</v>
      </c>
    </row>
    <row r="16" spans="3:16">
      <c r="C16" s="33">
        <v>45050</v>
      </c>
      <c r="D16" s="22" t="s">
        <v>106</v>
      </c>
      <c r="E16" t="s">
        <v>23</v>
      </c>
      <c r="F16" t="s">
        <v>66</v>
      </c>
      <c r="G16" t="str" cm="1">
        <f t="array" ref="G16:H16">_xlfn.TEXTSPLIT(F16,"-")</f>
        <v>930</v>
      </c>
      <c r="H16" t="str">
        <v>1030</v>
      </c>
      <c r="I16" t="str">
        <f t="shared" si="2"/>
        <v>1030</v>
      </c>
      <c r="J16" t="b">
        <f t="shared" si="3"/>
        <v>0</v>
      </c>
      <c r="K16" t="str">
        <f t="shared" si="4"/>
        <v>0930</v>
      </c>
      <c r="L16">
        <f t="shared" si="5"/>
        <v>1030</v>
      </c>
      <c r="M16" s="23">
        <f t="shared" si="0"/>
        <v>0.39583333333333331</v>
      </c>
      <c r="N16" s="23">
        <f t="shared" si="1"/>
        <v>0.4375</v>
      </c>
      <c r="O16" t="str" cm="1">
        <f t="array" ref="O16">_xlfn.TEXTJOIN("",FALSE,(_xlfn.TEXTSPLIT(DisplayText(C16),"-")),"T",(_xlfn.TEXTSPLIT(DisplayText(M16),":")))</f>
        <v>20230504T093000</v>
      </c>
      <c r="P16" t="str" cm="1">
        <f t="array" ref="P16">_xlfn.TEXTJOIN("",FALSE,(_xlfn.TEXTSPLIT(DisplayText(C16),"-")),"T",(_xlfn.TEXTSPLIT(DisplayText(N16),":")))</f>
        <v>20230504T103000</v>
      </c>
    </row>
    <row r="17" spans="3:16">
      <c r="C17" s="33">
        <v>45050</v>
      </c>
      <c r="D17" t="s">
        <v>108</v>
      </c>
      <c r="E17" t="s">
        <v>23</v>
      </c>
      <c r="F17" t="s">
        <v>67</v>
      </c>
      <c r="G17" t="str" cm="1">
        <f t="array" ref="G17:H17">_xlfn.TEXTSPLIT(F17,"-")</f>
        <v>1030</v>
      </c>
      <c r="H17" t="str">
        <v>12noon</v>
      </c>
      <c r="I17">
        <v>1200</v>
      </c>
      <c r="J17" t="b">
        <f t="shared" si="3"/>
        <v>0</v>
      </c>
      <c r="K17" t="str">
        <f>IF((LEN(G17)&lt;4),_xlfn.TEXTJOIN("",FALSE,"0",G17),G17)</f>
        <v>1030</v>
      </c>
      <c r="L17">
        <f t="shared" si="5"/>
        <v>1200</v>
      </c>
      <c r="M17" s="23">
        <f t="shared" si="0"/>
        <v>0.4375</v>
      </c>
      <c r="N17" s="23">
        <f t="shared" si="1"/>
        <v>0.5</v>
      </c>
      <c r="O17" t="str" cm="1">
        <f t="array" ref="O17">_xlfn.TEXTJOIN("",FALSE,(_xlfn.TEXTSPLIT(DisplayText(C17),"-")),"T",(_xlfn.TEXTSPLIT(DisplayText(M17),":")))</f>
        <v>20230504T103000</v>
      </c>
      <c r="P17" t="str" cm="1">
        <f t="array" ref="P17">_xlfn.TEXTJOIN("",FALSE,(_xlfn.TEXTSPLIT(DisplayText(C17),"-")),"T",(_xlfn.TEXTSPLIT(DisplayText(N17),":")))</f>
        <v>20230504T120000</v>
      </c>
    </row>
    <row r="18" spans="3:16">
      <c r="C18" s="33">
        <v>45051</v>
      </c>
      <c r="D18" s="22" t="s">
        <v>81</v>
      </c>
      <c r="E18" t="s">
        <v>82</v>
      </c>
      <c r="F18" t="s">
        <v>17</v>
      </c>
      <c r="G18" t="str" cm="1">
        <f t="array" ref="G18:H18">_xlfn.TEXTSPLIT(F18,"-")</f>
        <v>930</v>
      </c>
      <c r="H18" t="str">
        <v>1030am</v>
      </c>
      <c r="I18" t="str">
        <f t="shared" si="2"/>
        <v>1030</v>
      </c>
      <c r="J18" t="b">
        <f t="shared" si="3"/>
        <v>1</v>
      </c>
      <c r="K18" t="str">
        <f t="shared" si="4"/>
        <v>0930</v>
      </c>
      <c r="L18">
        <f t="shared" si="5"/>
        <v>1030</v>
      </c>
      <c r="M18" s="23">
        <f t="shared" si="0"/>
        <v>0.39583333333333331</v>
      </c>
      <c r="N18" s="23">
        <f t="shared" si="1"/>
        <v>0.4375</v>
      </c>
      <c r="O18" t="str" cm="1">
        <f t="array" ref="O18">_xlfn.TEXTJOIN("",FALSE,(_xlfn.TEXTSPLIT(DisplayText(C18),"-")),"T",(_xlfn.TEXTSPLIT(DisplayText(M18),":")))</f>
        <v>20230505T093000</v>
      </c>
      <c r="P18" t="str" cm="1">
        <f t="array" ref="P18">_xlfn.TEXTJOIN("",FALSE,(_xlfn.TEXTSPLIT(DisplayText(C18),"-")),"T",(_xlfn.TEXTSPLIT(DisplayText(N18),":")))</f>
        <v>20230505T103000</v>
      </c>
    </row>
    <row r="19" spans="3:16">
      <c r="C19" s="33">
        <v>45051</v>
      </c>
      <c r="D19" t="s">
        <v>83</v>
      </c>
      <c r="E19" t="s">
        <v>82</v>
      </c>
      <c r="F19" t="s">
        <v>19</v>
      </c>
      <c r="G19" t="str" cm="1">
        <f t="array" ref="G19:H19">_xlfn.TEXTSPLIT(F19,"-")</f>
        <v>1030</v>
      </c>
      <c r="H19" t="str">
        <v>1230pm</v>
      </c>
      <c r="I19" t="str">
        <f t="shared" si="2"/>
        <v>1230</v>
      </c>
      <c r="J19" t="b">
        <f t="shared" si="3"/>
        <v>0</v>
      </c>
      <c r="K19" t="str">
        <f t="shared" si="4"/>
        <v>1030</v>
      </c>
      <c r="L19">
        <f t="shared" si="5"/>
        <v>1230</v>
      </c>
      <c r="M19" s="23">
        <f t="shared" si="0"/>
        <v>0.4375</v>
      </c>
      <c r="N19" s="23">
        <f t="shared" si="1"/>
        <v>0.52083333333333337</v>
      </c>
      <c r="O19" t="str" cm="1">
        <f t="array" ref="O19">_xlfn.TEXTJOIN("",FALSE,(_xlfn.TEXTSPLIT(DisplayText(C19),"-")),"T",(_xlfn.TEXTSPLIT(DisplayText(M19),":")))</f>
        <v>20230505T103000</v>
      </c>
      <c r="P19" t="str" cm="1">
        <f t="array" ref="P19">_xlfn.TEXTJOIN("",FALSE,(_xlfn.TEXTSPLIT(DisplayText(C19),"-")),"T",(_xlfn.TEXTSPLIT(DisplayText(N19),":")))</f>
        <v>20230505T123000</v>
      </c>
    </row>
    <row r="20" spans="3:16">
      <c r="C20" s="33">
        <v>45054</v>
      </c>
      <c r="D20" t="s">
        <v>15</v>
      </c>
      <c r="E20" t="s">
        <v>129</v>
      </c>
      <c r="F20" t="s">
        <v>17</v>
      </c>
      <c r="G20" t="str" cm="1">
        <f t="array" ref="G20:H20">_xlfn.TEXTSPLIT(F20,"-")</f>
        <v>930</v>
      </c>
      <c r="H20" t="str">
        <v>1030am</v>
      </c>
      <c r="I20" t="str">
        <f t="shared" si="2"/>
        <v>1030</v>
      </c>
      <c r="J20" t="b">
        <f t="shared" si="3"/>
        <v>1</v>
      </c>
      <c r="K20" t="str">
        <f t="shared" si="4"/>
        <v>0930</v>
      </c>
      <c r="L20">
        <f t="shared" si="5"/>
        <v>1030</v>
      </c>
      <c r="M20" s="23">
        <f t="shared" si="0"/>
        <v>0.39583333333333331</v>
      </c>
      <c r="N20" s="23">
        <f t="shared" si="1"/>
        <v>0.4375</v>
      </c>
      <c r="O20" t="str" cm="1">
        <f t="array" ref="O20">_xlfn.TEXTJOIN("",FALSE,(_xlfn.TEXTSPLIT(DisplayText(C20),"-")),"T",(_xlfn.TEXTSPLIT(DisplayText(M20),":")))</f>
        <v>20230508T093000</v>
      </c>
      <c r="P20" t="str" cm="1">
        <f t="array" ref="P20">_xlfn.TEXTJOIN("",FALSE,(_xlfn.TEXTSPLIT(DisplayText(C20),"-")),"T",(_xlfn.TEXTSPLIT(DisplayText(N20),":")))</f>
        <v>20230508T103000</v>
      </c>
    </row>
    <row r="21" spans="3:16">
      <c r="C21" s="33">
        <v>45054</v>
      </c>
      <c r="D21" t="s">
        <v>18</v>
      </c>
      <c r="E21" t="s">
        <v>129</v>
      </c>
      <c r="F21" t="s">
        <v>19</v>
      </c>
      <c r="G21" t="str" cm="1">
        <f t="array" ref="G21:H21">_xlfn.TEXTSPLIT(F21,"-")</f>
        <v>1030</v>
      </c>
      <c r="H21" t="str">
        <v>1230pm</v>
      </c>
      <c r="I21" t="str">
        <f t="shared" si="2"/>
        <v>1230</v>
      </c>
      <c r="J21" t="b">
        <f t="shared" si="3"/>
        <v>0</v>
      </c>
      <c r="K21" t="str">
        <f t="shared" si="4"/>
        <v>1030</v>
      </c>
      <c r="L21">
        <f t="shared" si="5"/>
        <v>1230</v>
      </c>
      <c r="M21" s="23">
        <f t="shared" si="0"/>
        <v>0.4375</v>
      </c>
      <c r="N21" s="23">
        <f t="shared" si="1"/>
        <v>0.52083333333333337</v>
      </c>
      <c r="O21" t="str" cm="1">
        <f t="array" ref="O21">_xlfn.TEXTJOIN("",FALSE,(_xlfn.TEXTSPLIT(DisplayText(C21),"-")),"T",(_xlfn.TEXTSPLIT(DisplayText(M21),":")))</f>
        <v>20230508T103000</v>
      </c>
      <c r="P21" t="str" cm="1">
        <f t="array" ref="P21">_xlfn.TEXTJOIN("",FALSE,(_xlfn.TEXTSPLIT(DisplayText(C21),"-")),"T",(_xlfn.TEXTSPLIT(DisplayText(N21),":")))</f>
        <v>20230508T123000</v>
      </c>
    </row>
    <row r="22" spans="3:16">
      <c r="C22" s="33">
        <v>45055</v>
      </c>
      <c r="D22" t="s">
        <v>36</v>
      </c>
      <c r="E22" t="s">
        <v>23</v>
      </c>
      <c r="F22" t="s">
        <v>25</v>
      </c>
      <c r="G22" t="str" cm="1">
        <f t="array" ref="G22:H22">_xlfn.TEXTSPLIT(F22,"-")</f>
        <v>930</v>
      </c>
      <c r="H22" t="str">
        <v>11am</v>
      </c>
      <c r="I22">
        <v>1100</v>
      </c>
      <c r="J22" t="b">
        <f t="shared" si="3"/>
        <v>1</v>
      </c>
      <c r="K22" t="str">
        <f t="shared" si="4"/>
        <v>0930</v>
      </c>
      <c r="L22">
        <f t="shared" si="5"/>
        <v>1100</v>
      </c>
      <c r="M22" s="23">
        <f t="shared" si="0"/>
        <v>0.39583333333333331</v>
      </c>
      <c r="N22" s="23">
        <f t="shared" si="1"/>
        <v>0.45833333333333331</v>
      </c>
      <c r="O22" t="str" cm="1">
        <f t="array" ref="O22">_xlfn.TEXTJOIN("",FALSE,(_xlfn.TEXTSPLIT(DisplayText(C22),"-")),"T",(_xlfn.TEXTSPLIT(DisplayText(M22),":")))</f>
        <v>20230509T093000</v>
      </c>
      <c r="P22" t="str" cm="1">
        <f t="array" ref="P22">_xlfn.TEXTJOIN("",FALSE,(_xlfn.TEXTSPLIT(DisplayText(C22),"-")),"T",(_xlfn.TEXTSPLIT(DisplayText(N22),":")))</f>
        <v>20230509T110000</v>
      </c>
    </row>
    <row r="23" spans="3:16">
      <c r="C23" s="33">
        <v>45055</v>
      </c>
      <c r="D23" t="s">
        <v>96</v>
      </c>
      <c r="E23" t="s">
        <v>37</v>
      </c>
      <c r="F23" t="s">
        <v>38</v>
      </c>
      <c r="G23" t="str" cm="1">
        <f t="array" ref="G23:H23">_xlfn.TEXTSPLIT(F23,"-")</f>
        <v>1130</v>
      </c>
      <c r="H23" t="str">
        <v>130pm</v>
      </c>
      <c r="I23">
        <v>1330</v>
      </c>
      <c r="J23" t="b">
        <f t="shared" si="3"/>
        <v>0</v>
      </c>
      <c r="K23" t="str">
        <f t="shared" si="4"/>
        <v>1130</v>
      </c>
      <c r="L23">
        <f t="shared" si="5"/>
        <v>1330</v>
      </c>
      <c r="M23" s="23">
        <f t="shared" si="0"/>
        <v>0.47916666666666663</v>
      </c>
      <c r="N23" s="23">
        <f t="shared" si="1"/>
        <v>0.5625</v>
      </c>
      <c r="O23" t="str" cm="1">
        <f t="array" ref="O23">_xlfn.TEXTJOIN("",FALSE,(_xlfn.TEXTSPLIT(DisplayText(C23),"-")),"T",(_xlfn.TEXTSPLIT(DisplayText(M23),":")))</f>
        <v>20230509T113000</v>
      </c>
      <c r="P23" t="str" cm="1">
        <f t="array" ref="P23">_xlfn.TEXTJOIN("",FALSE,(_xlfn.TEXTSPLIT(DisplayText(C23),"-")),"T",(_xlfn.TEXTSPLIT(DisplayText(N23),":")))</f>
        <v>20230509T133000</v>
      </c>
    </row>
    <row r="24" spans="3:16">
      <c r="C24" s="33">
        <v>45056</v>
      </c>
      <c r="D24" t="s">
        <v>99</v>
      </c>
      <c r="E24" t="s">
        <v>37</v>
      </c>
      <c r="F24" t="s">
        <v>34</v>
      </c>
      <c r="G24" t="str" cm="1">
        <f t="array" ref="G24:H24">_xlfn.TEXTSPLIT(F24,"-")</f>
        <v>930</v>
      </c>
      <c r="H24" t="str">
        <v>1130am</v>
      </c>
      <c r="I24" t="str">
        <f t="shared" si="2"/>
        <v>1130</v>
      </c>
      <c r="J24" t="b">
        <f t="shared" si="3"/>
        <v>1</v>
      </c>
      <c r="K24" t="str">
        <f t="shared" si="4"/>
        <v>0930</v>
      </c>
      <c r="L24">
        <f t="shared" si="5"/>
        <v>1130</v>
      </c>
      <c r="M24" s="23">
        <f t="shared" si="0"/>
        <v>0.39583333333333331</v>
      </c>
      <c r="N24" s="23">
        <f t="shared" si="1"/>
        <v>0.47916666666666663</v>
      </c>
      <c r="O24" t="str" cm="1">
        <f t="array" ref="O24">_xlfn.TEXTJOIN("",FALSE,(_xlfn.TEXTSPLIT(DisplayText(C24),"-")),"T",(_xlfn.TEXTSPLIT(DisplayText(M24),":")))</f>
        <v>20230510T093000</v>
      </c>
      <c r="P24" t="str" cm="1">
        <f t="array" ref="P24">_xlfn.TEXTJOIN("",FALSE,(_xlfn.TEXTSPLIT(DisplayText(C24),"-")),"T",(_xlfn.TEXTSPLIT(DisplayText(N24),":")))</f>
        <v>20230510T113000</v>
      </c>
    </row>
    <row r="25" spans="3:16">
      <c r="C25" s="33">
        <v>45056</v>
      </c>
      <c r="D25" t="s">
        <v>121</v>
      </c>
      <c r="E25" t="s">
        <v>54</v>
      </c>
      <c r="F25" t="s">
        <v>55</v>
      </c>
      <c r="G25" t="str" cm="1">
        <f t="array" ref="G25:H25">_xlfn.TEXTSPLIT(F25,"-")</f>
        <v>12</v>
      </c>
      <c r="H25" t="str">
        <v>1230pm</v>
      </c>
      <c r="I25" t="str">
        <f t="shared" si="2"/>
        <v>1230</v>
      </c>
      <c r="J25" t="b">
        <f t="shared" si="3"/>
        <v>0</v>
      </c>
      <c r="K25">
        <v>1200</v>
      </c>
      <c r="L25">
        <f t="shared" si="5"/>
        <v>1230</v>
      </c>
      <c r="M25" s="23">
        <f t="shared" si="0"/>
        <v>0.5</v>
      </c>
      <c r="N25" s="23">
        <f t="shared" si="1"/>
        <v>0.52083333333333337</v>
      </c>
      <c r="O25" t="str" cm="1">
        <f t="array" ref="O25">_xlfn.TEXTJOIN("",FALSE,(_xlfn.TEXTSPLIT(DisplayText(C25),"-")),"T",(_xlfn.TEXTSPLIT(DisplayText(M25),":")))</f>
        <v>20230510T120000</v>
      </c>
      <c r="P25" t="str" cm="1">
        <f t="array" ref="P25">_xlfn.TEXTJOIN("",FALSE,(_xlfn.TEXTSPLIT(DisplayText(C25),"-")),"T",(_xlfn.TEXTSPLIT(DisplayText(N25),":")))</f>
        <v>20230510T123000</v>
      </c>
    </row>
    <row r="26" spans="3:16">
      <c r="C26" s="33">
        <v>45057</v>
      </c>
      <c r="D26" s="22" t="s">
        <v>68</v>
      </c>
      <c r="E26" t="s">
        <v>69</v>
      </c>
      <c r="F26" t="s">
        <v>17</v>
      </c>
      <c r="G26" t="str" cm="1">
        <f t="array" ref="G26:H26">_xlfn.TEXTSPLIT(F26,"-")</f>
        <v>930</v>
      </c>
      <c r="H26" t="str">
        <v>1030am</v>
      </c>
      <c r="I26" t="str">
        <f t="shared" si="2"/>
        <v>1030</v>
      </c>
      <c r="J26" t="b">
        <f t="shared" si="3"/>
        <v>1</v>
      </c>
      <c r="K26" t="str">
        <f t="shared" si="4"/>
        <v>0930</v>
      </c>
      <c r="L26">
        <f t="shared" si="5"/>
        <v>1030</v>
      </c>
      <c r="M26" s="23">
        <f t="shared" si="0"/>
        <v>0.39583333333333331</v>
      </c>
      <c r="N26" s="23">
        <f t="shared" si="1"/>
        <v>0.4375</v>
      </c>
      <c r="O26" t="str" cm="1">
        <f t="array" ref="O26">_xlfn.TEXTJOIN("",FALSE,(_xlfn.TEXTSPLIT(DisplayText(C26),"-")),"T",(_xlfn.TEXTSPLIT(DisplayText(M26),":")))</f>
        <v>20230511T093000</v>
      </c>
      <c r="P26" t="str" cm="1">
        <f t="array" ref="P26">_xlfn.TEXTJOIN("",FALSE,(_xlfn.TEXTSPLIT(DisplayText(C26),"-")),"T",(_xlfn.TEXTSPLIT(DisplayText(N26),":")))</f>
        <v>20230511T103000</v>
      </c>
    </row>
    <row r="27" spans="3:16">
      <c r="C27" s="33">
        <v>45057</v>
      </c>
      <c r="D27" t="s">
        <v>70</v>
      </c>
      <c r="E27" t="s">
        <v>69</v>
      </c>
      <c r="F27" t="s">
        <v>19</v>
      </c>
      <c r="G27" t="str" cm="1">
        <f t="array" ref="G27:H27">_xlfn.TEXTSPLIT(F27,"-")</f>
        <v>1030</v>
      </c>
      <c r="H27" t="str">
        <v>1230pm</v>
      </c>
      <c r="I27" t="str">
        <f t="shared" si="2"/>
        <v>1230</v>
      </c>
      <c r="J27" t="b">
        <f t="shared" si="3"/>
        <v>0</v>
      </c>
      <c r="K27" t="str">
        <f t="shared" si="4"/>
        <v>1030</v>
      </c>
      <c r="L27">
        <f t="shared" si="5"/>
        <v>1230</v>
      </c>
      <c r="M27" s="23">
        <f t="shared" si="0"/>
        <v>0.4375</v>
      </c>
      <c r="N27" s="23">
        <f t="shared" si="1"/>
        <v>0.52083333333333337</v>
      </c>
      <c r="O27" t="str" cm="1">
        <f t="array" ref="O27">_xlfn.TEXTJOIN("",FALSE,(_xlfn.TEXTSPLIT(DisplayText(C27),"-")),"T",(_xlfn.TEXTSPLIT(DisplayText(M27),":")))</f>
        <v>20230511T103000</v>
      </c>
      <c r="P27" t="str" cm="1">
        <f t="array" ref="P27">_xlfn.TEXTJOIN("",FALSE,(_xlfn.TEXTSPLIT(DisplayText(C27),"-")),"T",(_xlfn.TEXTSPLIT(DisplayText(N27),":")))</f>
        <v>20230511T123000</v>
      </c>
    </row>
    <row r="28" spans="3:16">
      <c r="C28" s="33">
        <v>45057</v>
      </c>
      <c r="D28" t="s">
        <v>71</v>
      </c>
      <c r="E28" t="s">
        <v>72</v>
      </c>
      <c r="F28" t="s">
        <v>73</v>
      </c>
      <c r="G28" t="str" cm="1">
        <f t="array" ref="G28:H28">_xlfn.TEXTSPLIT(F28,"-")</f>
        <v>1230</v>
      </c>
      <c r="H28" t="str">
        <v>115 pm</v>
      </c>
      <c r="I28">
        <v>1315</v>
      </c>
      <c r="J28" t="b">
        <f t="shared" si="3"/>
        <v>0</v>
      </c>
      <c r="K28" t="str">
        <f>IF((LEN(G28)&lt;4),_xlfn.TEXTJOIN("",FALSE,"0",G28),G28)</f>
        <v>1230</v>
      </c>
      <c r="L28">
        <f t="shared" si="5"/>
        <v>1315</v>
      </c>
      <c r="M28" s="23">
        <f t="shared" si="0"/>
        <v>0.52083333333333337</v>
      </c>
      <c r="N28" s="23">
        <f t="shared" si="1"/>
        <v>0.55208333333333326</v>
      </c>
      <c r="O28" t="str" cm="1">
        <f t="array" ref="O28">_xlfn.TEXTJOIN("",FALSE,(_xlfn.TEXTSPLIT(DisplayText(C28),"-")),"T",(_xlfn.TEXTSPLIT(DisplayText(M28),":")))</f>
        <v>20230511T123000</v>
      </c>
      <c r="P28" t="str" cm="1">
        <f t="array" ref="P28">_xlfn.TEXTJOIN("",FALSE,(_xlfn.TEXTSPLIT(DisplayText(C28),"-")),"T",(_xlfn.TEXTSPLIT(DisplayText(N28),":")))</f>
        <v>20230511T131500</v>
      </c>
    </row>
    <row r="29" spans="3:16">
      <c r="C29" s="33">
        <v>45058</v>
      </c>
      <c r="D29" s="22" t="s">
        <v>110</v>
      </c>
      <c r="E29" t="s">
        <v>13</v>
      </c>
      <c r="F29" t="s">
        <v>84</v>
      </c>
      <c r="G29" t="str" cm="1">
        <f t="array" ref="G29:H29">_xlfn.TEXTSPLIT(F29,"-")</f>
        <v>9</v>
      </c>
      <c r="H29" t="str">
        <v>330pm</v>
      </c>
      <c r="I29">
        <v>1530</v>
      </c>
      <c r="J29" t="b">
        <f t="shared" si="3"/>
        <v>0</v>
      </c>
      <c r="K29">
        <v>900</v>
      </c>
      <c r="L29">
        <f t="shared" si="5"/>
        <v>1530</v>
      </c>
      <c r="M29" s="23">
        <f t="shared" si="0"/>
        <v>0.375</v>
      </c>
      <c r="N29" s="23">
        <f t="shared" si="1"/>
        <v>0.64583333333333337</v>
      </c>
      <c r="O29" t="str" cm="1">
        <f t="array" ref="O29">_xlfn.TEXTJOIN("",FALSE,(_xlfn.TEXTSPLIT(DisplayText(C29),"-")),"T",(_xlfn.TEXTSPLIT(DisplayText(M29),":")))</f>
        <v>20230512T090000</v>
      </c>
      <c r="P29" t="str" cm="1">
        <f t="array" ref="P29">_xlfn.TEXTJOIN("",FALSE,(_xlfn.TEXTSPLIT(DisplayText(C29),"-")),"T",(_xlfn.TEXTSPLIT(DisplayText(N29),":")))</f>
        <v>20230512T153000</v>
      </c>
    </row>
    <row r="30" spans="3:16">
      <c r="C30" s="33">
        <v>45061</v>
      </c>
      <c r="D30" t="s">
        <v>20</v>
      </c>
      <c r="E30" t="s">
        <v>129</v>
      </c>
      <c r="F30" t="s">
        <v>17</v>
      </c>
      <c r="G30" t="str" cm="1">
        <f t="array" ref="G30:H30">_xlfn.TEXTSPLIT(F30,"-")</f>
        <v>930</v>
      </c>
      <c r="H30" t="str">
        <v>1030am</v>
      </c>
      <c r="I30" t="str">
        <f t="shared" si="2"/>
        <v>1030</v>
      </c>
      <c r="J30" t="b">
        <f t="shared" si="3"/>
        <v>1</v>
      </c>
      <c r="K30" t="str">
        <f t="shared" si="4"/>
        <v>0930</v>
      </c>
      <c r="L30">
        <f t="shared" si="5"/>
        <v>1030</v>
      </c>
      <c r="M30" s="23">
        <f t="shared" si="0"/>
        <v>0.39583333333333331</v>
      </c>
      <c r="N30" s="23">
        <f t="shared" si="1"/>
        <v>0.4375</v>
      </c>
      <c r="O30" t="str" cm="1">
        <f t="array" ref="O30">_xlfn.TEXTJOIN("",FALSE,(_xlfn.TEXTSPLIT(DisplayText(C30),"-")),"T",(_xlfn.TEXTSPLIT(DisplayText(M30),":")))</f>
        <v>20230515T093000</v>
      </c>
      <c r="P30" t="str" cm="1">
        <f t="array" ref="P30">_xlfn.TEXTJOIN("",FALSE,(_xlfn.TEXTSPLIT(DisplayText(C30),"-")),"T",(_xlfn.TEXTSPLIT(DisplayText(N30),":")))</f>
        <v>20230515T103000</v>
      </c>
    </row>
    <row r="31" spans="3:16">
      <c r="C31" s="33">
        <v>45061</v>
      </c>
      <c r="D31" t="s">
        <v>21</v>
      </c>
      <c r="E31" t="s">
        <v>129</v>
      </c>
      <c r="F31" t="s">
        <v>19</v>
      </c>
      <c r="G31" t="str" cm="1">
        <f t="array" ref="G31:H31">_xlfn.TEXTSPLIT(F31,"-")</f>
        <v>1030</v>
      </c>
      <c r="H31" t="str">
        <v>1230pm</v>
      </c>
      <c r="I31" t="str">
        <f t="shared" si="2"/>
        <v>1230</v>
      </c>
      <c r="J31" t="b">
        <f t="shared" si="3"/>
        <v>0</v>
      </c>
      <c r="K31" t="str">
        <f t="shared" si="4"/>
        <v>1030</v>
      </c>
      <c r="L31">
        <f t="shared" si="5"/>
        <v>1230</v>
      </c>
      <c r="M31" s="23">
        <f t="shared" si="0"/>
        <v>0.4375</v>
      </c>
      <c r="N31" s="23">
        <f t="shared" si="1"/>
        <v>0.52083333333333337</v>
      </c>
      <c r="O31" t="str" cm="1">
        <f t="array" ref="O31">_xlfn.TEXTJOIN("",FALSE,(_xlfn.TEXTSPLIT(DisplayText(C31),"-")),"T",(_xlfn.TEXTSPLIT(DisplayText(M31),":")))</f>
        <v>20230515T103000</v>
      </c>
      <c r="P31" t="str" cm="1">
        <f t="array" ref="P31">_xlfn.TEXTJOIN("",FALSE,(_xlfn.TEXTSPLIT(DisplayText(C31),"-")),"T",(_xlfn.TEXTSPLIT(DisplayText(N31),":")))</f>
        <v>20230515T123000</v>
      </c>
    </row>
    <row r="32" spans="3:16">
      <c r="C32" s="33">
        <v>45062</v>
      </c>
      <c r="D32" t="s">
        <v>39</v>
      </c>
      <c r="E32" t="s">
        <v>129</v>
      </c>
      <c r="F32" t="s">
        <v>17</v>
      </c>
      <c r="G32" t="str" cm="1">
        <f t="array" ref="G32:H32">_xlfn.TEXTSPLIT(F32,"-")</f>
        <v>930</v>
      </c>
      <c r="H32" t="str">
        <v>1030am</v>
      </c>
      <c r="I32" t="str">
        <f t="shared" si="2"/>
        <v>1030</v>
      </c>
      <c r="J32" t="b">
        <f t="shared" si="3"/>
        <v>1</v>
      </c>
      <c r="K32" t="str">
        <f t="shared" si="4"/>
        <v>0930</v>
      </c>
      <c r="L32">
        <f t="shared" si="5"/>
        <v>1030</v>
      </c>
      <c r="M32" s="23">
        <f t="shared" si="0"/>
        <v>0.39583333333333331</v>
      </c>
      <c r="N32" s="23">
        <f t="shared" si="1"/>
        <v>0.4375</v>
      </c>
      <c r="O32" t="str" cm="1">
        <f t="array" ref="O32">_xlfn.TEXTJOIN("",FALSE,(_xlfn.TEXTSPLIT(DisplayText(C32),"-")),"T",(_xlfn.TEXTSPLIT(DisplayText(M32),":")))</f>
        <v>20230516T093000</v>
      </c>
      <c r="P32" t="str" cm="1">
        <f t="array" ref="P32">_xlfn.TEXTJOIN("",FALSE,(_xlfn.TEXTSPLIT(DisplayText(C32),"-")),"T",(_xlfn.TEXTSPLIT(DisplayText(N32),":")))</f>
        <v>20230516T103000</v>
      </c>
    </row>
    <row r="33" spans="3:16">
      <c r="C33" s="33">
        <v>45062</v>
      </c>
      <c r="D33" t="s">
        <v>40</v>
      </c>
      <c r="E33" t="s">
        <v>129</v>
      </c>
      <c r="F33" t="s">
        <v>19</v>
      </c>
      <c r="G33" t="str" cm="1">
        <f t="array" ref="G33:H33">_xlfn.TEXTSPLIT(F33,"-")</f>
        <v>1030</v>
      </c>
      <c r="H33" t="str">
        <v>1230pm</v>
      </c>
      <c r="I33" t="str">
        <f t="shared" si="2"/>
        <v>1230</v>
      </c>
      <c r="J33" t="b">
        <f t="shared" si="3"/>
        <v>0</v>
      </c>
      <c r="K33" t="str">
        <f t="shared" si="4"/>
        <v>1030</v>
      </c>
      <c r="L33">
        <f t="shared" si="5"/>
        <v>1230</v>
      </c>
      <c r="M33" s="23">
        <f t="shared" si="0"/>
        <v>0.4375</v>
      </c>
      <c r="N33" s="23">
        <f t="shared" si="1"/>
        <v>0.52083333333333337</v>
      </c>
      <c r="O33" t="str" cm="1">
        <f t="array" ref="O33">_xlfn.TEXTJOIN("",FALSE,(_xlfn.TEXTSPLIT(DisplayText(C33),"-")),"T",(_xlfn.TEXTSPLIT(DisplayText(M33),":")))</f>
        <v>20230516T103000</v>
      </c>
      <c r="P33" t="str" cm="1">
        <f t="array" ref="P33">_xlfn.TEXTJOIN("",FALSE,(_xlfn.TEXTSPLIT(DisplayText(C33),"-")),"T",(_xlfn.TEXTSPLIT(DisplayText(N33),":")))</f>
        <v>20230516T123000</v>
      </c>
    </row>
    <row r="34" spans="3:16">
      <c r="C34" s="33">
        <v>45063</v>
      </c>
      <c r="D34" t="s">
        <v>56</v>
      </c>
      <c r="E34" t="s">
        <v>129</v>
      </c>
      <c r="F34" t="s">
        <v>57</v>
      </c>
      <c r="G34" t="str" cm="1">
        <f t="array" ref="G34:H34">_xlfn.TEXTSPLIT(F34,"-")</f>
        <v>930</v>
      </c>
      <c r="H34" t="str">
        <v>1230noon</v>
      </c>
      <c r="I34" t="str">
        <f t="shared" si="2"/>
        <v>1230</v>
      </c>
      <c r="J34" t="b">
        <f t="shared" si="3"/>
        <v>0</v>
      </c>
      <c r="K34" t="str">
        <f t="shared" si="4"/>
        <v>0930</v>
      </c>
      <c r="L34">
        <f t="shared" si="5"/>
        <v>1230</v>
      </c>
      <c r="M34" s="23">
        <f t="shared" si="0"/>
        <v>0.39583333333333331</v>
      </c>
      <c r="N34" s="23">
        <f t="shared" si="1"/>
        <v>0.52083333333333337</v>
      </c>
      <c r="O34" t="str" cm="1">
        <f t="array" ref="O34">_xlfn.TEXTJOIN("",FALSE,(_xlfn.TEXTSPLIT(DisplayText(C34),"-")),"T",(_xlfn.TEXTSPLIT(DisplayText(M34),":")))</f>
        <v>20230517T093000</v>
      </c>
      <c r="P34" t="str" cm="1">
        <f t="array" ref="P34">_xlfn.TEXTJOIN("",FALSE,(_xlfn.TEXTSPLIT(DisplayText(C34),"-")),"T",(_xlfn.TEXTSPLIT(DisplayText(N34),":")))</f>
        <v>20230517T123000</v>
      </c>
    </row>
    <row r="35" spans="3:16">
      <c r="C35" s="33">
        <v>45064</v>
      </c>
      <c r="D35" s="22" t="s">
        <v>105</v>
      </c>
      <c r="E35">
        <v>0</v>
      </c>
      <c r="F35" t="s">
        <v>131</v>
      </c>
      <c r="G35" t="str" cm="1">
        <f t="array" ref="G35:H35">_xlfn.TEXTSPLIT(F35,"-")</f>
        <v>0100</v>
      </c>
      <c r="H35" t="str">
        <v>2400</v>
      </c>
      <c r="I35" t="str">
        <f t="shared" si="2"/>
        <v>2400</v>
      </c>
      <c r="J35" t="b">
        <f t="shared" si="3"/>
        <v>0</v>
      </c>
      <c r="K35" t="str">
        <f t="shared" si="4"/>
        <v>0100</v>
      </c>
      <c r="L35">
        <f t="shared" si="5"/>
        <v>2400</v>
      </c>
      <c r="M35" s="23">
        <f t="shared" si="0"/>
        <v>4.1666666666666664E-2</v>
      </c>
      <c r="N35" s="23">
        <f t="shared" si="1"/>
        <v>1</v>
      </c>
      <c r="O35" t="str" cm="1">
        <f t="array" ref="O35">_xlfn.TEXTJOIN("",FALSE,(_xlfn.TEXTSPLIT(DisplayText(C35),"-")),"T",(_xlfn.TEXTSPLIT(DisplayText(M35),":")))</f>
        <v>20230518T010000</v>
      </c>
      <c r="P35" t="str" cm="1">
        <f t="array" ref="P35">_xlfn.TEXTJOIN("",FALSE,(_xlfn.TEXTSPLIT(DisplayText(C35),"-")),"T",(_xlfn.TEXTSPLIT(DisplayText(N35),":")))</f>
        <v>20230518T000000</v>
      </c>
    </row>
    <row r="36" spans="3:16">
      <c r="C36" s="33">
        <v>45068</v>
      </c>
      <c r="D36" t="s">
        <v>90</v>
      </c>
      <c r="E36" t="s">
        <v>13</v>
      </c>
      <c r="F36" t="s">
        <v>34</v>
      </c>
      <c r="G36" t="str" cm="1">
        <f t="array" ref="G36:H36">_xlfn.TEXTSPLIT(F36,"-")</f>
        <v>930</v>
      </c>
      <c r="H36" t="str">
        <v>1130am</v>
      </c>
      <c r="I36" t="str">
        <f t="shared" si="2"/>
        <v>1130</v>
      </c>
      <c r="J36" t="b">
        <f t="shared" si="3"/>
        <v>1</v>
      </c>
      <c r="K36" t="str">
        <f t="shared" si="4"/>
        <v>0930</v>
      </c>
      <c r="L36">
        <f t="shared" si="5"/>
        <v>1130</v>
      </c>
      <c r="M36" s="23">
        <f t="shared" si="0"/>
        <v>0.39583333333333331</v>
      </c>
      <c r="N36" s="23">
        <f t="shared" si="1"/>
        <v>0.47916666666666663</v>
      </c>
      <c r="O36" t="str" cm="1">
        <f t="array" ref="O36">_xlfn.TEXTJOIN("",FALSE,(_xlfn.TEXTSPLIT(DisplayText(C36),"-")),"T",(_xlfn.TEXTSPLIT(DisplayText(M36),":")))</f>
        <v>20230522T093000</v>
      </c>
      <c r="P36" t="str" cm="1">
        <f t="array" ref="P36">_xlfn.TEXTJOIN("",FALSE,(_xlfn.TEXTSPLIT(DisplayText(C36),"-")),"T",(_xlfn.TEXTSPLIT(DisplayText(N36),":")))</f>
        <v>20230522T113000</v>
      </c>
    </row>
    <row r="37" spans="3:16">
      <c r="C37" s="33">
        <v>45068</v>
      </c>
      <c r="D37" t="s">
        <v>93</v>
      </c>
      <c r="E37" t="s">
        <v>23</v>
      </c>
      <c r="F37" t="s">
        <v>132</v>
      </c>
      <c r="G37" t="str" cm="1">
        <f t="array" ref="G37:H37">_xlfn.TEXTSPLIT(F37,"-")</f>
        <v>1130</v>
      </c>
      <c r="H37" t="str">
        <v>1pm</v>
      </c>
      <c r="I37">
        <v>1300</v>
      </c>
      <c r="J37" t="b">
        <f t="shared" si="3"/>
        <v>0</v>
      </c>
      <c r="K37" t="str">
        <f t="shared" si="4"/>
        <v>1130</v>
      </c>
      <c r="L37">
        <f t="shared" si="5"/>
        <v>1300</v>
      </c>
      <c r="M37" s="23">
        <f t="shared" si="0"/>
        <v>0.47916666666666663</v>
      </c>
      <c r="N37" s="23">
        <f t="shared" si="1"/>
        <v>0.54166666666666663</v>
      </c>
      <c r="O37" t="str" cm="1">
        <f t="array" ref="O37">_xlfn.TEXTJOIN("",FALSE,(_xlfn.TEXTSPLIT(DisplayText(C37),"-")),"T",(_xlfn.TEXTSPLIT(DisplayText(M37),":")))</f>
        <v>20230522T113000</v>
      </c>
      <c r="P37" t="str" cm="1">
        <f t="array" ref="P37">_xlfn.TEXTJOIN("",FALSE,(_xlfn.TEXTSPLIT(DisplayText(C37),"-")),"T",(_xlfn.TEXTSPLIT(DisplayText(N37),":")))</f>
        <v>20230522T130000</v>
      </c>
    </row>
    <row r="38" spans="3:16">
      <c r="C38" s="33">
        <v>45069</v>
      </c>
      <c r="D38" t="s">
        <v>95</v>
      </c>
      <c r="E38" t="s">
        <v>41</v>
      </c>
      <c r="F38" t="s">
        <v>133</v>
      </c>
      <c r="G38" t="str" cm="1">
        <f t="array" ref="G38:H38">_xlfn.TEXTSPLIT(F38,"-")</f>
        <v>700</v>
      </c>
      <c r="H38" t="str">
        <v>12pm</v>
      </c>
      <c r="I38">
        <v>1200</v>
      </c>
      <c r="J38" t="b">
        <f t="shared" si="3"/>
        <v>0</v>
      </c>
      <c r="K38" t="str">
        <f t="shared" si="4"/>
        <v>0700</v>
      </c>
      <c r="L38">
        <f t="shared" si="5"/>
        <v>1200</v>
      </c>
      <c r="M38" s="23">
        <f t="shared" si="0"/>
        <v>0.29166666666666669</v>
      </c>
      <c r="N38" s="23">
        <f t="shared" si="1"/>
        <v>0.5</v>
      </c>
      <c r="O38" t="str" cm="1">
        <f t="array" ref="O38">_xlfn.TEXTJOIN("",FALSE,(_xlfn.TEXTSPLIT(DisplayText(C38),"-")),"T",(_xlfn.TEXTSPLIT(DisplayText(M38),":")))</f>
        <v>20230523T070000</v>
      </c>
      <c r="P38" t="str" cm="1">
        <f t="array" ref="P38">_xlfn.TEXTJOIN("",FALSE,(_xlfn.TEXTSPLIT(DisplayText(C38),"-")),"T",(_xlfn.TEXTSPLIT(DisplayText(N38),":")))</f>
        <v>20230523T120000</v>
      </c>
    </row>
    <row r="39" spans="3:16">
      <c r="C39" s="33">
        <v>45069</v>
      </c>
      <c r="D39" t="s">
        <v>43</v>
      </c>
      <c r="E39" t="s">
        <v>23</v>
      </c>
      <c r="F39" t="s">
        <v>44</v>
      </c>
      <c r="G39" t="str" cm="1">
        <f t="array" ref="G39:H39">_xlfn.TEXTSPLIT(F39,"-")</f>
        <v>130</v>
      </c>
      <c r="H39" t="str">
        <v>3pm</v>
      </c>
      <c r="I39">
        <v>1500</v>
      </c>
      <c r="J39" t="b">
        <f t="shared" si="3"/>
        <v>0</v>
      </c>
      <c r="K39" t="str">
        <f t="shared" si="4"/>
        <v>0130</v>
      </c>
      <c r="L39">
        <f t="shared" si="5"/>
        <v>1500</v>
      </c>
      <c r="M39" s="23">
        <f t="shared" si="0"/>
        <v>6.25E-2</v>
      </c>
      <c r="N39" s="23">
        <f t="shared" si="1"/>
        <v>0.625</v>
      </c>
      <c r="O39" t="str" cm="1">
        <f t="array" ref="O39">_xlfn.TEXTJOIN("",FALSE,(_xlfn.TEXTSPLIT(DisplayText(C39),"-")),"T",(_xlfn.TEXTSPLIT(DisplayText(M39),":")))</f>
        <v>20230523T013000</v>
      </c>
      <c r="P39" t="str" cm="1">
        <f t="array" ref="P39">_xlfn.TEXTJOIN("",FALSE,(_xlfn.TEXTSPLIT(DisplayText(C39),"-")),"T",(_xlfn.TEXTSPLIT(DisplayText(N39),":")))</f>
        <v>20230523T150000</v>
      </c>
    </row>
    <row r="40" spans="3:16">
      <c r="C40" s="33">
        <v>45069</v>
      </c>
      <c r="D40" t="s">
        <v>45</v>
      </c>
      <c r="E40" t="s">
        <v>100</v>
      </c>
      <c r="F40" t="s">
        <v>134</v>
      </c>
      <c r="G40" t="str" cm="1">
        <f t="array" ref="G40:H40">_xlfn.TEXTSPLIT(F40,"-")</f>
        <v>300</v>
      </c>
      <c r="H40" t="str">
        <v>430pm</v>
      </c>
      <c r="I40">
        <v>1630</v>
      </c>
      <c r="J40" t="b">
        <f t="shared" si="3"/>
        <v>0</v>
      </c>
      <c r="K40" t="str">
        <f t="shared" si="4"/>
        <v>0300</v>
      </c>
      <c r="L40">
        <f t="shared" si="5"/>
        <v>1630</v>
      </c>
      <c r="M40" s="23">
        <f t="shared" si="0"/>
        <v>0.125</v>
      </c>
      <c r="N40" s="23">
        <f t="shared" si="1"/>
        <v>0.6875</v>
      </c>
      <c r="O40" t="str" cm="1">
        <f t="array" ref="O40">_xlfn.TEXTJOIN("",FALSE,(_xlfn.TEXTSPLIT(DisplayText(C40),"-")),"T",(_xlfn.TEXTSPLIT(DisplayText(M40),":")))</f>
        <v>20230523T030000</v>
      </c>
      <c r="P40" t="str" cm="1">
        <f t="array" ref="P40">_xlfn.TEXTJOIN("",FALSE,(_xlfn.TEXTSPLIT(DisplayText(C40),"-")),"T",(_xlfn.TEXTSPLIT(DisplayText(N40),":")))</f>
        <v>20230523T163000</v>
      </c>
    </row>
    <row r="41" spans="3:16">
      <c r="C41" s="33">
        <v>45070</v>
      </c>
      <c r="D41" t="s">
        <v>58</v>
      </c>
      <c r="E41" t="s">
        <v>23</v>
      </c>
      <c r="F41" t="s">
        <v>57</v>
      </c>
      <c r="G41" t="str" cm="1">
        <f t="array" ref="G41:H41">_xlfn.TEXTSPLIT(F41,"-")</f>
        <v>930</v>
      </c>
      <c r="H41" t="str">
        <v>1230noon</v>
      </c>
      <c r="I41" t="str">
        <f t="shared" si="2"/>
        <v>1230</v>
      </c>
      <c r="J41" t="b">
        <f t="shared" si="3"/>
        <v>0</v>
      </c>
      <c r="K41" t="str">
        <f>IF((LEN(G41)&lt;4),_xlfn.TEXTJOIN("",FALSE,"0",G41),G41)</f>
        <v>0930</v>
      </c>
      <c r="L41">
        <f t="shared" si="5"/>
        <v>1230</v>
      </c>
      <c r="M41" s="23">
        <f t="shared" si="0"/>
        <v>0.39583333333333331</v>
      </c>
      <c r="N41" s="23">
        <f t="shared" si="1"/>
        <v>0.52083333333333337</v>
      </c>
      <c r="O41" t="str" cm="1">
        <f t="array" ref="O41">_xlfn.TEXTJOIN("",FALSE,(_xlfn.TEXTSPLIT(DisplayText(C41),"-")),"T",(_xlfn.TEXTSPLIT(DisplayText(M41),":")))</f>
        <v>20230524T093000</v>
      </c>
      <c r="P41" t="str" cm="1">
        <f t="array" ref="P41">_xlfn.TEXTJOIN("",FALSE,(_xlfn.TEXTSPLIT(DisplayText(C41),"-")),"T",(_xlfn.TEXTSPLIT(DisplayText(N41),":")))</f>
        <v>20230524T123000</v>
      </c>
    </row>
    <row r="42" spans="3:16">
      <c r="C42" s="33">
        <v>45071</v>
      </c>
      <c r="D42" s="22" t="s">
        <v>74</v>
      </c>
      <c r="E42" t="s">
        <v>75</v>
      </c>
      <c r="F42" t="s">
        <v>76</v>
      </c>
      <c r="G42" t="str" cm="1">
        <f t="array" ref="G42:H42">_xlfn.TEXTSPLIT(F42,"-")</f>
        <v>830</v>
      </c>
      <c r="H42" t="str">
        <v>12noon TBA</v>
      </c>
      <c r="I42">
        <v>1200</v>
      </c>
      <c r="J42" t="b">
        <f t="shared" si="3"/>
        <v>0</v>
      </c>
      <c r="K42" t="str">
        <f t="shared" si="4"/>
        <v>0830</v>
      </c>
      <c r="L42">
        <f t="shared" si="5"/>
        <v>1200</v>
      </c>
      <c r="M42" s="23">
        <f t="shared" si="0"/>
        <v>0.35416666666666663</v>
      </c>
      <c r="N42" s="23">
        <f t="shared" si="1"/>
        <v>0.5</v>
      </c>
      <c r="O42" t="str" cm="1">
        <f t="array" ref="O42">_xlfn.TEXTJOIN("",FALSE,(_xlfn.TEXTSPLIT(DisplayText(C42),"-")),"T",(_xlfn.TEXTSPLIT(DisplayText(M42),":")))</f>
        <v>20230525T083000</v>
      </c>
      <c r="P42" t="str" cm="1">
        <f t="array" ref="P42">_xlfn.TEXTJOIN("",FALSE,(_xlfn.TEXTSPLIT(DisplayText(C42),"-")),"T",(_xlfn.TEXTSPLIT(DisplayText(N42),":")))</f>
        <v>20230525T120000</v>
      </c>
    </row>
    <row r="43" spans="3:16">
      <c r="C43" s="33">
        <v>45072</v>
      </c>
      <c r="D43" s="22" t="s">
        <v>111</v>
      </c>
      <c r="E43" t="s">
        <v>85</v>
      </c>
      <c r="F43" t="s">
        <v>86</v>
      </c>
      <c r="G43">
        <v>900</v>
      </c>
      <c r="I43">
        <v>1200</v>
      </c>
      <c r="J43" t="b">
        <f t="shared" si="3"/>
        <v>0</v>
      </c>
      <c r="K43" t="str">
        <f t="shared" si="4"/>
        <v>0900</v>
      </c>
      <c r="L43">
        <f t="shared" si="5"/>
        <v>1200</v>
      </c>
      <c r="M43" s="23">
        <f t="shared" si="0"/>
        <v>0.375</v>
      </c>
      <c r="N43" s="23">
        <f t="shared" si="1"/>
        <v>0.5</v>
      </c>
      <c r="O43" t="str" cm="1">
        <f t="array" ref="O43">_xlfn.TEXTJOIN("",FALSE,(_xlfn.TEXTSPLIT(DisplayText(C43),"-")),"T",(_xlfn.TEXTSPLIT(DisplayText(M43),":")))</f>
        <v>20230526T090000</v>
      </c>
      <c r="P43" t="str" cm="1">
        <f t="array" ref="P43">_xlfn.TEXTJOIN("",FALSE,(_xlfn.TEXTSPLIT(DisplayText(C43),"-")),"T",(_xlfn.TEXTSPLIT(DisplayText(N43),":")))</f>
        <v>20230526T120000</v>
      </c>
    </row>
    <row r="44" spans="3:16">
      <c r="C44" s="33">
        <v>45075</v>
      </c>
      <c r="D44" t="s">
        <v>91</v>
      </c>
      <c r="E44" t="s">
        <v>23</v>
      </c>
      <c r="F44" t="s">
        <v>25</v>
      </c>
      <c r="G44" t="str" cm="1">
        <f t="array" ref="G44:H44">_xlfn.TEXTSPLIT(F44,"-")</f>
        <v>930</v>
      </c>
      <c r="H44" t="str">
        <v>11am</v>
      </c>
      <c r="I44">
        <v>1100</v>
      </c>
      <c r="J44" t="b">
        <f t="shared" si="3"/>
        <v>1</v>
      </c>
      <c r="K44" t="str">
        <f t="shared" si="4"/>
        <v>0930</v>
      </c>
      <c r="L44">
        <f t="shared" si="5"/>
        <v>1100</v>
      </c>
      <c r="M44" s="23">
        <f t="shared" si="0"/>
        <v>0.39583333333333331</v>
      </c>
      <c r="N44" s="23">
        <f t="shared" si="1"/>
        <v>0.45833333333333331</v>
      </c>
      <c r="O44" t="str" cm="1">
        <f t="array" ref="O44">_xlfn.TEXTJOIN("",FALSE,(_xlfn.TEXTSPLIT(DisplayText(C44),"-")),"T",(_xlfn.TEXTSPLIT(DisplayText(M44),":")))</f>
        <v>20230529T093000</v>
      </c>
      <c r="P44" t="str" cm="1">
        <f t="array" ref="P44">_xlfn.TEXTJOIN("",FALSE,(_xlfn.TEXTSPLIT(DisplayText(C44),"-")),"T",(_xlfn.TEXTSPLIT(DisplayText(N44),":")))</f>
        <v>20230529T110000</v>
      </c>
    </row>
    <row r="45" spans="3:16">
      <c r="C45" s="33">
        <v>45075</v>
      </c>
      <c r="D45" t="s">
        <v>92</v>
      </c>
      <c r="E45" t="s">
        <v>26</v>
      </c>
      <c r="F45" t="s">
        <v>27</v>
      </c>
      <c r="G45" t="str" cm="1">
        <f t="array" ref="G45:H45">_xlfn.TEXTSPLIT(F45,"-")</f>
        <v>1130</v>
      </c>
      <c r="H45" t="str">
        <v>2pm</v>
      </c>
      <c r="I45">
        <v>1400</v>
      </c>
      <c r="J45" t="b">
        <f t="shared" si="3"/>
        <v>0</v>
      </c>
      <c r="K45" t="str">
        <f t="shared" si="4"/>
        <v>1130</v>
      </c>
      <c r="L45">
        <f t="shared" si="5"/>
        <v>1400</v>
      </c>
      <c r="M45" s="23">
        <f t="shared" si="0"/>
        <v>0.47916666666666663</v>
      </c>
      <c r="N45" s="23">
        <f t="shared" si="1"/>
        <v>0.58333333333333337</v>
      </c>
      <c r="O45" t="str" cm="1">
        <f t="array" ref="O45">_xlfn.TEXTJOIN("",FALSE,(_xlfn.TEXTSPLIT(DisplayText(C45),"-")),"T",(_xlfn.TEXTSPLIT(DisplayText(M45),":")))</f>
        <v>20230529T113000</v>
      </c>
      <c r="P45" t="str" cm="1">
        <f t="array" ref="P45">_xlfn.TEXTJOIN("",FALSE,(_xlfn.TEXTSPLIT(DisplayText(C45),"-")),"T",(_xlfn.TEXTSPLIT(DisplayText(N45),":")))</f>
        <v>20230529T140000</v>
      </c>
    </row>
    <row r="46" spans="3:16">
      <c r="C46" s="33">
        <v>45076</v>
      </c>
      <c r="D46" t="s">
        <v>46</v>
      </c>
      <c r="E46" t="s">
        <v>23</v>
      </c>
      <c r="F46" t="s">
        <v>135</v>
      </c>
      <c r="G46" t="str" cm="1">
        <f t="array" ref="G46:H46">_xlfn.TEXTSPLIT(F46,"-")</f>
        <v>1000</v>
      </c>
      <c r="H46" t="str">
        <v>12pm TBA</v>
      </c>
      <c r="I46">
        <v>1200</v>
      </c>
      <c r="J46" t="b">
        <f t="shared" si="3"/>
        <v>0</v>
      </c>
      <c r="K46" t="str">
        <f t="shared" si="4"/>
        <v>1000</v>
      </c>
      <c r="L46">
        <f t="shared" si="5"/>
        <v>1200</v>
      </c>
      <c r="M46" s="23">
        <f t="shared" si="0"/>
        <v>0.41666666666666669</v>
      </c>
      <c r="N46" s="23">
        <f t="shared" si="1"/>
        <v>0.5</v>
      </c>
      <c r="O46" t="str" cm="1">
        <f t="array" ref="O46">_xlfn.TEXTJOIN("",FALSE,(_xlfn.TEXTSPLIT(DisplayText(C46),"-")),"T",(_xlfn.TEXTSPLIT(DisplayText(M46),":")))</f>
        <v>20230530T100000</v>
      </c>
      <c r="P46" t="str" cm="1">
        <f t="array" ref="P46">_xlfn.TEXTJOIN("",FALSE,(_xlfn.TEXTSPLIT(DisplayText(C46),"-")),"T",(_xlfn.TEXTSPLIT(DisplayText(N46),":")))</f>
        <v>20230530T120000</v>
      </c>
    </row>
    <row r="47" spans="3:16">
      <c r="C47" s="33">
        <v>45076</v>
      </c>
      <c r="D47" t="s">
        <v>97</v>
      </c>
      <c r="E47" t="s">
        <v>48</v>
      </c>
      <c r="F47" t="s">
        <v>49</v>
      </c>
      <c r="G47" t="str" cm="1">
        <f t="array" ref="G47:H47">_xlfn.TEXTSPLIT(F47,"-")</f>
        <v>1230</v>
      </c>
      <c r="H47" t="str">
        <v>2pm TBA</v>
      </c>
      <c r="I47">
        <v>1400</v>
      </c>
      <c r="J47" t="b">
        <f t="shared" si="3"/>
        <v>0</v>
      </c>
      <c r="K47" t="str">
        <f t="shared" si="4"/>
        <v>1230</v>
      </c>
      <c r="L47">
        <f t="shared" si="5"/>
        <v>1400</v>
      </c>
      <c r="M47" s="23">
        <f t="shared" si="0"/>
        <v>0.52083333333333337</v>
      </c>
      <c r="N47" s="23">
        <f t="shared" si="1"/>
        <v>0.58333333333333337</v>
      </c>
      <c r="O47" t="str" cm="1">
        <f t="array" ref="O47">_xlfn.TEXTJOIN("",FALSE,(_xlfn.TEXTSPLIT(DisplayText(C47),"-")),"T",(_xlfn.TEXTSPLIT(DisplayText(M47),":")))</f>
        <v>20230530T123000</v>
      </c>
      <c r="P47" t="str" cm="1">
        <f t="array" ref="P47">_xlfn.TEXTJOIN("",FALSE,(_xlfn.TEXTSPLIT(DisplayText(C47),"-")),"T",(_xlfn.TEXTSPLIT(DisplayText(N47),":")))</f>
        <v>20230530T140000</v>
      </c>
    </row>
    <row r="48" spans="3:16">
      <c r="C48" s="33">
        <v>45077</v>
      </c>
      <c r="D48" t="s">
        <v>60</v>
      </c>
      <c r="E48" t="s">
        <v>61</v>
      </c>
      <c r="F48" t="s">
        <v>34</v>
      </c>
      <c r="G48" t="str" cm="1">
        <f t="array" ref="G48:H48">_xlfn.TEXTSPLIT(F48,"-")</f>
        <v>930</v>
      </c>
      <c r="H48" t="str">
        <v>1130am</v>
      </c>
      <c r="I48" t="str">
        <f t="shared" si="2"/>
        <v>1130</v>
      </c>
      <c r="J48" t="b">
        <f t="shared" si="3"/>
        <v>1</v>
      </c>
      <c r="K48" t="str">
        <f t="shared" si="4"/>
        <v>0930</v>
      </c>
      <c r="L48">
        <f t="shared" si="5"/>
        <v>1130</v>
      </c>
      <c r="M48" s="23">
        <f t="shared" si="0"/>
        <v>0.39583333333333331</v>
      </c>
      <c r="N48" s="23">
        <f t="shared" si="1"/>
        <v>0.47916666666666663</v>
      </c>
      <c r="O48" t="str" cm="1">
        <f t="array" ref="O48">_xlfn.TEXTJOIN("",FALSE,(_xlfn.TEXTSPLIT(DisplayText(C48),"-")),"T",(_xlfn.TEXTSPLIT(DisplayText(M48),":")))</f>
        <v>20230531T093000</v>
      </c>
      <c r="P48" t="str" cm="1">
        <f t="array" ref="P48">_xlfn.TEXTJOIN("",FALSE,(_xlfn.TEXTSPLIT(DisplayText(C48),"-")),"T",(_xlfn.TEXTSPLIT(DisplayText(N48),":")))</f>
        <v>20230531T113000</v>
      </c>
    </row>
    <row r="49" spans="3:16">
      <c r="C49" s="33">
        <v>45077</v>
      </c>
      <c r="D49" t="s">
        <v>62</v>
      </c>
      <c r="E49" t="s">
        <v>61</v>
      </c>
      <c r="F49" t="s">
        <v>38</v>
      </c>
      <c r="G49" t="str" cm="1">
        <f t="array" ref="G49:H49">_xlfn.TEXTSPLIT(F49,"-")</f>
        <v>1130</v>
      </c>
      <c r="H49" t="str">
        <v>130pm</v>
      </c>
      <c r="I49">
        <v>1330</v>
      </c>
      <c r="J49" t="b">
        <f t="shared" si="3"/>
        <v>0</v>
      </c>
      <c r="K49" t="str">
        <f t="shared" si="4"/>
        <v>1130</v>
      </c>
      <c r="L49">
        <f t="shared" si="5"/>
        <v>1330</v>
      </c>
      <c r="M49" s="23">
        <f t="shared" si="0"/>
        <v>0.47916666666666663</v>
      </c>
      <c r="N49" s="23">
        <f t="shared" si="1"/>
        <v>0.5625</v>
      </c>
      <c r="O49" t="str" cm="1">
        <f t="array" ref="O49">_xlfn.TEXTJOIN("",FALSE,(_xlfn.TEXTSPLIT(DisplayText(C49),"-")),"T",(_xlfn.TEXTSPLIT(DisplayText(M49),":")))</f>
        <v>20230531T113000</v>
      </c>
      <c r="P49" t="str" cm="1">
        <f t="array" ref="P49">_xlfn.TEXTJOIN("",FALSE,(_xlfn.TEXTSPLIT(DisplayText(C49),"-")),"T",(_xlfn.TEXTSPLIT(DisplayText(N49),":")))</f>
        <v>20230531T133000</v>
      </c>
    </row>
    <row r="50" spans="3:16">
      <c r="C50" s="33">
        <v>45078</v>
      </c>
      <c r="D50" s="22" t="s">
        <v>105</v>
      </c>
      <c r="E50">
        <v>0</v>
      </c>
      <c r="F50" t="s">
        <v>136</v>
      </c>
      <c r="G50" t="str" cm="1">
        <f t="array" ref="G50:H50">_xlfn.TEXTSPLIT(F50,"-")</f>
        <v>0100</v>
      </c>
      <c r="H50" t="str">
        <v>2359</v>
      </c>
      <c r="I50" t="str">
        <f t="shared" si="2"/>
        <v>2359</v>
      </c>
      <c r="J50" t="b">
        <f t="shared" si="3"/>
        <v>0</v>
      </c>
      <c r="K50" t="str">
        <f t="shared" si="4"/>
        <v>0100</v>
      </c>
      <c r="L50">
        <f t="shared" si="5"/>
        <v>2359</v>
      </c>
      <c r="M50" s="23">
        <f t="shared" si="0"/>
        <v>4.1666666666666664E-2</v>
      </c>
      <c r="N50" s="23">
        <f t="shared" si="1"/>
        <v>0.99930555555555556</v>
      </c>
      <c r="O50" t="str" cm="1">
        <f t="array" ref="O50">_xlfn.TEXTJOIN("",FALSE,(_xlfn.TEXTSPLIT(DisplayText(C50),"-")),"T",(_xlfn.TEXTSPLIT(DisplayText(M50),":")))</f>
        <v>20230601T010000</v>
      </c>
      <c r="P50" t="str" cm="1">
        <f t="array" ref="P50">_xlfn.TEXTJOIN("",FALSE,(_xlfn.TEXTSPLIT(DisplayText(C50),"-")),"T",(_xlfn.TEXTSPLIT(DisplayText(N50),":")))</f>
        <v>20230601T235900</v>
      </c>
    </row>
    <row r="51" spans="3:16">
      <c r="C51" s="33">
        <v>45082</v>
      </c>
      <c r="D51" t="s">
        <v>28</v>
      </c>
      <c r="E51" t="s">
        <v>13</v>
      </c>
      <c r="F51" t="s">
        <v>29</v>
      </c>
      <c r="G51" t="str" cm="1">
        <f t="array" ref="G51:H51">_xlfn.TEXTSPLIT(F51,"-")</f>
        <v>930</v>
      </c>
      <c r="H51" t="str">
        <v>1pm</v>
      </c>
      <c r="I51">
        <v>1300</v>
      </c>
      <c r="J51" t="b">
        <f t="shared" si="3"/>
        <v>0</v>
      </c>
      <c r="K51" t="str">
        <f t="shared" si="4"/>
        <v>0930</v>
      </c>
      <c r="L51">
        <f t="shared" si="5"/>
        <v>1300</v>
      </c>
      <c r="M51" s="23">
        <f t="shared" si="0"/>
        <v>0.39583333333333331</v>
      </c>
      <c r="N51" s="23">
        <f t="shared" si="1"/>
        <v>0.54166666666666663</v>
      </c>
      <c r="O51" t="str" cm="1">
        <f t="array" ref="O51">_xlfn.TEXTJOIN("",FALSE,(_xlfn.TEXTSPLIT(DisplayText(C51),"-")),"T",(_xlfn.TEXTSPLIT(DisplayText(M51),":")))</f>
        <v>20230605T093000</v>
      </c>
      <c r="P51" t="str" cm="1">
        <f t="array" ref="P51">_xlfn.TEXTJOIN("",FALSE,(_xlfn.TEXTSPLIT(DisplayText(C51),"-")),"T",(_xlfn.TEXTSPLIT(DisplayText(N51),":")))</f>
        <v>20230605T130000</v>
      </c>
    </row>
    <row r="52" spans="3:16">
      <c r="C52" s="33">
        <v>45083</v>
      </c>
      <c r="D52" t="s">
        <v>28</v>
      </c>
      <c r="E52" t="s">
        <v>13</v>
      </c>
      <c r="F52" t="s">
        <v>50</v>
      </c>
      <c r="G52" t="str" cm="1">
        <f t="array" ref="G52:H52">_xlfn.TEXTSPLIT(F52,"-")</f>
        <v>930</v>
      </c>
      <c r="H52" t="str">
        <v>12noon</v>
      </c>
      <c r="I52">
        <v>1200</v>
      </c>
      <c r="J52" t="b">
        <f t="shared" si="3"/>
        <v>0</v>
      </c>
      <c r="K52" t="str">
        <f t="shared" si="4"/>
        <v>0930</v>
      </c>
      <c r="L52">
        <f t="shared" si="5"/>
        <v>1200</v>
      </c>
      <c r="M52" s="23">
        <f t="shared" si="0"/>
        <v>0.39583333333333331</v>
      </c>
      <c r="N52" s="23">
        <f t="shared" si="1"/>
        <v>0.5</v>
      </c>
      <c r="O52" t="str" cm="1">
        <f t="array" ref="O52">_xlfn.TEXTJOIN("",FALSE,(_xlfn.TEXTSPLIT(DisplayText(C52),"-")),"T",(_xlfn.TEXTSPLIT(DisplayText(M52),":")))</f>
        <v>20230606T093000</v>
      </c>
      <c r="P52" t="str" cm="1">
        <f t="array" ref="P52">_xlfn.TEXTJOIN("",FALSE,(_xlfn.TEXTSPLIT(DisplayText(C52),"-")),"T",(_xlfn.TEXTSPLIT(DisplayText(N52),":")))</f>
        <v>20230606T120000</v>
      </c>
    </row>
    <row r="53" spans="3:16">
      <c r="C53" s="33">
        <v>45084</v>
      </c>
      <c r="D53" t="s">
        <v>28</v>
      </c>
      <c r="E53" t="s">
        <v>13</v>
      </c>
      <c r="F53" t="s">
        <v>50</v>
      </c>
      <c r="G53" t="str" cm="1">
        <f t="array" ref="G53:H53">_xlfn.TEXTSPLIT(F53,"-")</f>
        <v>930</v>
      </c>
      <c r="H53" t="str">
        <v>12noon</v>
      </c>
      <c r="I53">
        <v>1200</v>
      </c>
      <c r="J53" t="b">
        <f t="shared" si="3"/>
        <v>0</v>
      </c>
      <c r="K53" t="str">
        <f t="shared" si="4"/>
        <v>0930</v>
      </c>
      <c r="L53">
        <f t="shared" si="5"/>
        <v>1200</v>
      </c>
      <c r="M53" s="23">
        <f t="shared" si="0"/>
        <v>0.39583333333333331</v>
      </c>
      <c r="N53" s="23">
        <f t="shared" si="1"/>
        <v>0.5</v>
      </c>
      <c r="O53" t="str" cm="1">
        <f t="array" ref="O53">_xlfn.TEXTJOIN("",FALSE,(_xlfn.TEXTSPLIT(DisplayText(C53),"-")),"T",(_xlfn.TEXTSPLIT(DisplayText(M53),":")))</f>
        <v>20230607T093000</v>
      </c>
      <c r="P53" t="str" cm="1">
        <f t="array" ref="P53">_xlfn.TEXTJOIN("",FALSE,(_xlfn.TEXTSPLIT(DisplayText(C53),"-")),"T",(_xlfn.TEXTSPLIT(DisplayText(N53),":")))</f>
        <v>20230607T120000</v>
      </c>
    </row>
    <row r="54" spans="3:16">
      <c r="C54" s="33">
        <v>45089</v>
      </c>
      <c r="D54" t="s">
        <v>30</v>
      </c>
      <c r="E54" t="s">
        <v>13</v>
      </c>
      <c r="F54" t="s">
        <v>31</v>
      </c>
      <c r="G54" t="str" cm="1">
        <f t="array" ref="G54:H54">_xlfn.TEXTSPLIT(F54,"-")</f>
        <v>930</v>
      </c>
      <c r="H54" t="str">
        <v>1230pm</v>
      </c>
      <c r="I54" t="str">
        <f t="shared" si="2"/>
        <v>1230</v>
      </c>
      <c r="J54" t="b">
        <f t="shared" si="3"/>
        <v>0</v>
      </c>
      <c r="K54" t="str">
        <f>IF((LEN(G54)&lt;4),_xlfn.TEXTJOIN("",FALSE,"0",G54),G54)</f>
        <v>0930</v>
      </c>
      <c r="L54">
        <f t="shared" si="5"/>
        <v>1230</v>
      </c>
      <c r="M54" s="23">
        <f t="shared" si="0"/>
        <v>0.39583333333333331</v>
      </c>
      <c r="N54" s="23">
        <f t="shared" si="1"/>
        <v>0.52083333333333337</v>
      </c>
      <c r="O54" t="str" cm="1">
        <f t="array" ref="O54">_xlfn.TEXTJOIN("",FALSE,(_xlfn.TEXTSPLIT(DisplayText(C54),"-")),"T",(_xlfn.TEXTSPLIT(DisplayText(M54),":")))</f>
        <v>20230612T093000</v>
      </c>
      <c r="P54" t="str" cm="1">
        <f t="array" ref="P54">_xlfn.TEXTJOIN("",FALSE,(_xlfn.TEXTSPLIT(DisplayText(C54),"-")),"T",(_xlfn.TEXTSPLIT(DisplayText(N54),":")))</f>
        <v>20230612T123000</v>
      </c>
    </row>
    <row r="55" spans="3:16">
      <c r="C55" s="33">
        <v>45090</v>
      </c>
      <c r="D55" t="s">
        <v>30</v>
      </c>
      <c r="E55" t="s">
        <v>13</v>
      </c>
      <c r="F55" t="s">
        <v>31</v>
      </c>
      <c r="G55" t="str" cm="1">
        <f t="array" ref="G55:H55">_xlfn.TEXTSPLIT(F55,"-")</f>
        <v>930</v>
      </c>
      <c r="H55" t="str">
        <v>1230pm</v>
      </c>
      <c r="I55" t="str">
        <f t="shared" si="2"/>
        <v>1230</v>
      </c>
      <c r="J55" t="b">
        <f t="shared" si="3"/>
        <v>0</v>
      </c>
      <c r="K55" t="str">
        <f t="shared" si="4"/>
        <v>0930</v>
      </c>
      <c r="L55">
        <f t="shared" si="5"/>
        <v>1230</v>
      </c>
      <c r="M55" s="23">
        <f t="shared" si="0"/>
        <v>0.39583333333333331</v>
      </c>
      <c r="N55" s="23">
        <f t="shared" si="1"/>
        <v>0.52083333333333337</v>
      </c>
      <c r="O55" t="str" cm="1">
        <f t="array" ref="O55">_xlfn.TEXTJOIN("",FALSE,(_xlfn.TEXTSPLIT(DisplayText(C55),"-")),"T",(_xlfn.TEXTSPLIT(DisplayText(M55),":")))</f>
        <v>20230613T093000</v>
      </c>
      <c r="P55" t="str" cm="1">
        <f t="array" ref="P55">_xlfn.TEXTJOIN("",FALSE,(_xlfn.TEXTSPLIT(DisplayText(C55),"-")),"T",(_xlfn.TEXTSPLIT(DisplayText(N55),":")))</f>
        <v>20230613T123000</v>
      </c>
    </row>
    <row r="56" spans="3:16">
      <c r="C56" s="33">
        <v>45091</v>
      </c>
      <c r="D56" t="s">
        <v>30</v>
      </c>
      <c r="E56" t="s">
        <v>13</v>
      </c>
      <c r="F56" t="s">
        <v>50</v>
      </c>
      <c r="G56" t="str" cm="1">
        <f t="array" ref="G56:H56">_xlfn.TEXTSPLIT(F56,"-")</f>
        <v>930</v>
      </c>
      <c r="H56" t="str">
        <v>12noon</v>
      </c>
      <c r="I56">
        <v>1200</v>
      </c>
      <c r="J56" t="b">
        <f t="shared" si="3"/>
        <v>0</v>
      </c>
      <c r="K56" t="str">
        <f t="shared" si="4"/>
        <v>0930</v>
      </c>
      <c r="L56">
        <f t="shared" si="5"/>
        <v>1200</v>
      </c>
      <c r="M56" s="23">
        <f t="shared" si="0"/>
        <v>0.39583333333333331</v>
      </c>
      <c r="N56" s="23">
        <f t="shared" si="1"/>
        <v>0.5</v>
      </c>
      <c r="O56" t="str" cm="1">
        <f t="array" ref="O56">_xlfn.TEXTJOIN("",FALSE,(_xlfn.TEXTSPLIT(DisplayText(C56),"-")),"T",(_xlfn.TEXTSPLIT(DisplayText(M56),":")))</f>
        <v>20230614T093000</v>
      </c>
      <c r="P56" t="str" cm="1">
        <f t="array" ref="P56">_xlfn.TEXTJOIN("",FALSE,(_xlfn.TEXTSPLIT(DisplayText(C56),"-")),"T",(_xlfn.TEXTSPLIT(DisplayText(N56),":")))</f>
        <v>20230614T120000</v>
      </c>
    </row>
    <row r="57" spans="3:16">
      <c r="C57" s="33">
        <v>45092</v>
      </c>
      <c r="D57" s="22" t="s">
        <v>78</v>
      </c>
      <c r="E57" t="s">
        <v>13</v>
      </c>
      <c r="F57" t="s">
        <v>34</v>
      </c>
      <c r="G57" t="str" cm="1">
        <f t="array" ref="G57:H57">_xlfn.TEXTSPLIT(F57,"-")</f>
        <v>930</v>
      </c>
      <c r="H57" t="str">
        <v>1130am</v>
      </c>
      <c r="I57" t="str">
        <f t="shared" si="2"/>
        <v>1130</v>
      </c>
      <c r="J57" t="b">
        <f t="shared" si="3"/>
        <v>1</v>
      </c>
      <c r="K57" t="str">
        <f t="shared" si="4"/>
        <v>0930</v>
      </c>
      <c r="L57">
        <f t="shared" si="5"/>
        <v>1130</v>
      </c>
      <c r="M57" s="23">
        <f t="shared" si="0"/>
        <v>0.39583333333333331</v>
      </c>
      <c r="N57" s="23">
        <f t="shared" si="1"/>
        <v>0.47916666666666663</v>
      </c>
      <c r="O57" t="str" cm="1">
        <f t="array" ref="O57">_xlfn.TEXTJOIN("",FALSE,(_xlfn.TEXTSPLIT(DisplayText(C57),"-")),"T",(_xlfn.TEXTSPLIT(DisplayText(M57),":")))</f>
        <v>20230615T093000</v>
      </c>
      <c r="P57" t="str" cm="1">
        <f t="array" ref="P57">_xlfn.TEXTJOIN("",FALSE,(_xlfn.TEXTSPLIT(DisplayText(C57),"-")),"T",(_xlfn.TEXTSPLIT(DisplayText(N57),":")))</f>
        <v>20230615T113000</v>
      </c>
    </row>
    <row r="58" spans="3:16">
      <c r="C58" s="22"/>
    </row>
    <row r="59" spans="3:16">
      <c r="C59" s="22"/>
    </row>
    <row r="60" spans="3:16">
      <c r="C60" s="22"/>
    </row>
    <row r="61" spans="3:16">
      <c r="C61" s="22"/>
    </row>
    <row r="62" spans="3:16">
      <c r="C62" s="22"/>
    </row>
  </sheetData>
  <phoneticPr fontId="9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E554-E029-4636-A013-F7CA8DA978C9}">
  <sheetPr codeName="Sheet3"/>
  <dimension ref="A3:AQ15"/>
  <sheetViews>
    <sheetView workbookViewId="0">
      <selection activeCell="A10" sqref="A10"/>
    </sheetView>
  </sheetViews>
  <sheetFormatPr defaultRowHeight="14.4"/>
  <cols>
    <col min="3" max="3" width="10.109375" bestFit="1" customWidth="1"/>
    <col min="4" max="4" width="21.77734375" bestFit="1" customWidth="1"/>
    <col min="5" max="5" width="7.21875" bestFit="1" customWidth="1"/>
    <col min="6" max="6" width="10.33203125" bestFit="1" customWidth="1"/>
    <col min="7" max="7" width="24.44140625" bestFit="1" customWidth="1"/>
    <col min="8" max="8" width="12.109375" bestFit="1" customWidth="1"/>
    <col min="9" max="9" width="10.109375" bestFit="1" customWidth="1"/>
    <col min="10" max="10" width="21.77734375" bestFit="1" customWidth="1"/>
    <col min="11" max="11" width="20.6640625" bestFit="1" customWidth="1"/>
    <col min="12" max="13" width="16.109375" bestFit="1" customWidth="1"/>
    <col min="14" max="19" width="2" bestFit="1" customWidth="1"/>
    <col min="20" max="20" width="10.109375" bestFit="1" customWidth="1"/>
    <col min="21" max="21" width="24.21875" bestFit="1" customWidth="1"/>
    <col min="22" max="22" width="5.5546875" bestFit="1" customWidth="1"/>
    <col min="23" max="23" width="10.109375" bestFit="1" customWidth="1"/>
    <col min="24" max="24" width="23" bestFit="1" customWidth="1"/>
    <col min="25" max="25" width="11.6640625" bestFit="1" customWidth="1"/>
    <col min="26" max="27" width="10.109375" bestFit="1" customWidth="1"/>
    <col min="28" max="28" width="28.77734375" bestFit="1" customWidth="1"/>
    <col min="29" max="29" width="5.5546875" bestFit="1" customWidth="1"/>
    <col min="30" max="30" width="11.21875" bestFit="1" customWidth="1"/>
    <col min="31" max="31" width="15.33203125" bestFit="1" customWidth="1"/>
    <col min="32" max="32" width="5.5546875" bestFit="1" customWidth="1"/>
    <col min="33" max="33" width="11.88671875" bestFit="1" customWidth="1"/>
    <col min="34" max="36" width="2" bestFit="1" customWidth="1"/>
    <col min="37" max="37" width="10.109375" bestFit="1" customWidth="1"/>
    <col min="38" max="38" width="21.88671875" bestFit="1" customWidth="1"/>
    <col min="39" max="39" width="7.21875" bestFit="1" customWidth="1"/>
    <col min="40" max="40" width="10.109375" bestFit="1" customWidth="1"/>
    <col min="41" max="43" width="2" bestFit="1" customWidth="1"/>
  </cols>
  <sheetData>
    <row r="3" spans="1:43">
      <c r="F3" s="26">
        <v>45040</v>
      </c>
      <c r="G3" s="26">
        <v>45041</v>
      </c>
      <c r="I3" s="22">
        <v>45040</v>
      </c>
      <c r="M3" s="22">
        <v>45041</v>
      </c>
      <c r="W3" s="22">
        <v>45042</v>
      </c>
      <c r="Z3" s="22">
        <v>45042</v>
      </c>
      <c r="AD3" s="22">
        <v>45043</v>
      </c>
      <c r="AG3" s="22">
        <v>45043</v>
      </c>
      <c r="AN3" s="22">
        <v>45044</v>
      </c>
    </row>
    <row r="4" spans="1:43">
      <c r="C4" s="22">
        <v>45040</v>
      </c>
      <c r="D4" t="s">
        <v>9</v>
      </c>
      <c r="E4" t="s">
        <v>10</v>
      </c>
      <c r="F4" t="s">
        <v>11</v>
      </c>
      <c r="G4" t="s">
        <v>12</v>
      </c>
      <c r="H4" t="s">
        <v>13</v>
      </c>
      <c r="I4" t="s">
        <v>14</v>
      </c>
      <c r="J4" s="22">
        <v>45041</v>
      </c>
      <c r="K4" t="s">
        <v>33</v>
      </c>
      <c r="L4" t="s">
        <v>13</v>
      </c>
      <c r="M4" t="s">
        <v>34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22">
        <v>45042</v>
      </c>
      <c r="U4" t="s">
        <v>52</v>
      </c>
      <c r="V4" t="s">
        <v>23</v>
      </c>
      <c r="W4" t="s">
        <v>25</v>
      </c>
      <c r="X4" t="s">
        <v>102</v>
      </c>
      <c r="Y4" t="s">
        <v>103</v>
      </c>
      <c r="Z4" t="s">
        <v>104</v>
      </c>
      <c r="AA4" s="22">
        <v>45043</v>
      </c>
      <c r="AB4" s="22" t="s">
        <v>107</v>
      </c>
      <c r="AC4" t="s">
        <v>23</v>
      </c>
      <c r="AD4" t="s">
        <v>34</v>
      </c>
      <c r="AE4" t="s">
        <v>64</v>
      </c>
      <c r="AF4" t="s">
        <v>23</v>
      </c>
      <c r="AG4" t="s">
        <v>65</v>
      </c>
      <c r="AH4">
        <v>0</v>
      </c>
      <c r="AI4">
        <v>0</v>
      </c>
      <c r="AJ4">
        <v>0</v>
      </c>
      <c r="AK4" s="22">
        <v>45044</v>
      </c>
      <c r="AL4" s="22" t="s">
        <v>109</v>
      </c>
      <c r="AM4" t="s">
        <v>10</v>
      </c>
      <c r="AN4" t="s">
        <v>80</v>
      </c>
      <c r="AO4">
        <v>0</v>
      </c>
      <c r="AP4">
        <v>0</v>
      </c>
      <c r="AQ4">
        <v>0</v>
      </c>
    </row>
    <row r="5" spans="1:43">
      <c r="F5" t="s">
        <v>122</v>
      </c>
      <c r="G5" t="s">
        <v>123</v>
      </c>
    </row>
    <row r="6" spans="1:43">
      <c r="F6" s="24" t="str" cm="1">
        <f t="array" ref="F6:G6">_xlfn.TEXTSPLIT(F4,"-")</f>
        <v>930</v>
      </c>
      <c r="G6" s="23" t="str">
        <v>1230</v>
      </c>
    </row>
    <row r="7" spans="1:43">
      <c r="F7" t="str">
        <f>IF(LEN(F6)=3,"yes","no")</f>
        <v>yes</v>
      </c>
      <c r="G7" t="e">
        <f>DATEVALUE(G6)</f>
        <v>#VALUE!</v>
      </c>
    </row>
    <row r="8" spans="1:43">
      <c r="F8" s="23">
        <f>Sheet6!M4</f>
        <v>0.39583333333333331</v>
      </c>
      <c r="G8" s="23">
        <f>ROUNDDOWN(G6,-2)/2400 + MOD(G6,100)/1440</f>
        <v>0.52083333333333337</v>
      </c>
    </row>
    <row r="10" spans="1:43">
      <c r="A10" s="25" t="s">
        <v>124</v>
      </c>
    </row>
    <row r="11" spans="1:43">
      <c r="A11" t="str">
        <f>_xlfn.TEXTJOIN(,FALSE,F3,F8)</f>
        <v>450400,395833333333333</v>
      </c>
    </row>
    <row r="12" spans="1:43">
      <c r="D12" t="e" cm="1">
        <f t="array" aca="1" ref="D12" ca="1">TEXT(F3, IF(CELL("format",F3)="D4", "m/d/yy", "General"))</f>
        <v>#VALUE!</v>
      </c>
    </row>
    <row r="13" spans="1:43">
      <c r="J13" t="s">
        <v>113</v>
      </c>
      <c r="K13" t="s">
        <v>114</v>
      </c>
      <c r="L13" t="s">
        <v>127</v>
      </c>
      <c r="M13" t="s">
        <v>126</v>
      </c>
    </row>
    <row r="14" spans="1:43">
      <c r="F14" t="str" cm="1">
        <f t="array" ref="F14">DisplayText(F3)</f>
        <v>2023-04-24</v>
      </c>
      <c r="J14" t="s">
        <v>9</v>
      </c>
      <c r="K14" t="s">
        <v>10</v>
      </c>
      <c r="L14" t="s">
        <v>125</v>
      </c>
      <c r="M14" t="s">
        <v>128</v>
      </c>
    </row>
    <row r="15" spans="1:43">
      <c r="F15" t="str" cm="1">
        <f t="array" ref="F15">_xlfn.TEXTJOIN("",FALSE,(_xlfn.TEXTSPLIT(DisplayText(F3),"-")),"T",(_xlfn.TEXTSPLIT(DisplayText(F8),":")))</f>
        <v>20230424T093000</v>
      </c>
      <c r="G15" t="str" cm="1">
        <f t="array" ref="G15">_xlfn.TEXTJOIN("",FALSE,(_xlfn.TEXTSPLIT(DisplayText(G3),"-")),"T",(_xlfn.TEXTSPLIT(DisplayText(G8),":")))</f>
        <v>20230425T123000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09C09-516F-401B-A77F-777FDDA75222}">
  <sheetPr codeName="Sheet4"/>
  <dimension ref="B2:K42"/>
  <sheetViews>
    <sheetView topLeftCell="A55" workbookViewId="0">
      <selection activeCell="N18" sqref="N18"/>
    </sheetView>
  </sheetViews>
  <sheetFormatPr defaultRowHeight="14.4"/>
  <sheetData>
    <row r="2" spans="2:11">
      <c r="B2" t="str" cm="1">
        <f t="array" ref="B2:K42">TRANSPOSE(Sheet2!D1:AR10)</f>
        <v>Date</v>
      </c>
      <c r="C2" t="str">
        <v>Mon</v>
      </c>
      <c r="D2">
        <v>45040</v>
      </c>
      <c r="E2">
        <v>45047</v>
      </c>
      <c r="F2">
        <v>45054</v>
      </c>
      <c r="G2">
        <v>45061</v>
      </c>
      <c r="H2">
        <v>45068</v>
      </c>
      <c r="I2">
        <v>45075</v>
      </c>
      <c r="J2">
        <v>45082</v>
      </c>
      <c r="K2">
        <v>45089</v>
      </c>
    </row>
    <row r="3" spans="2:11">
      <c r="B3" t="str">
        <v>Description</v>
      </c>
      <c r="C3">
        <v>0</v>
      </c>
      <c r="D3" t="str">
        <v>Grand Tour Opening: TBC</v>
      </c>
      <c r="E3" t="str">
        <v>Holiday</v>
      </c>
      <c r="F3" t="str">
        <v>Professional Coaching Tools MC</v>
      </c>
      <c r="G3" t="str">
        <v>Human Potential Part 1 MC</v>
      </c>
      <c r="H3" t="str">
        <v>ICL Class Team review &amp; Peer coaching</v>
      </c>
      <c r="I3" t="str">
        <v>Team dynamics  MC</v>
      </c>
      <c r="J3" t="str">
        <v>SLS</v>
      </c>
      <c r="K3" t="str">
        <v>Pitch Presentation</v>
      </c>
    </row>
    <row r="4" spans="2:11">
      <c r="B4" t="str">
        <v>Who</v>
      </c>
      <c r="C4">
        <v>0</v>
      </c>
      <c r="D4" t="str">
        <v>The Uni</v>
      </c>
      <c r="E4">
        <v>0</v>
      </c>
      <c r="F4" t="str">
        <v>Kévin </v>
      </c>
      <c r="G4" t="str">
        <v>Kévin </v>
      </c>
      <c r="H4" t="str">
        <v>Barbs &amp; Kévin</v>
      </c>
      <c r="I4" t="str">
        <v>Barbs</v>
      </c>
      <c r="J4" t="str">
        <v>Barbs &amp; Kévin</v>
      </c>
      <c r="K4" t="str">
        <v>Barbs &amp; Kévin</v>
      </c>
    </row>
    <row r="5" spans="2:11">
      <c r="B5" t="str">
        <v>Time</v>
      </c>
      <c r="C5">
        <v>0</v>
      </c>
      <c r="D5" t="str">
        <v>930-1230</v>
      </c>
      <c r="E5">
        <v>0</v>
      </c>
      <c r="F5" t="str">
        <v>930-1030am</v>
      </c>
      <c r="G5" t="str">
        <v>930-1030am</v>
      </c>
      <c r="H5" t="str">
        <v>930am-1130am</v>
      </c>
      <c r="I5" t="str">
        <v>930-11am</v>
      </c>
      <c r="J5" t="str">
        <v>930-1pm</v>
      </c>
      <c r="K5" t="str">
        <v>930-1230pm</v>
      </c>
    </row>
    <row r="6" spans="2:11">
      <c r="B6" t="str">
        <v>Description2</v>
      </c>
      <c r="C6">
        <v>0</v>
      </c>
      <c r="D6" t="str">
        <v>Intro to the Module. Lecture</v>
      </c>
      <c r="E6">
        <v>0</v>
      </c>
      <c r="F6" t="str">
        <v>Professional Coaching Tools WS</v>
      </c>
      <c r="G6" t="str">
        <v>Human Potential Part 1 WS</v>
      </c>
      <c r="H6" t="str">
        <v>Intro Team Dvlp High Performing Teams ***2pm class with EIA</v>
      </c>
      <c r="I6" t="str">
        <v>Team Building  WS</v>
      </c>
      <c r="J6">
        <v>0</v>
      </c>
      <c r="K6">
        <v>0</v>
      </c>
    </row>
    <row r="7" spans="2:11">
      <c r="B7" t="str">
        <v>Who2</v>
      </c>
      <c r="C7">
        <v>0</v>
      </c>
      <c r="D7" t="str">
        <v>Barbs &amp; Kévin</v>
      </c>
      <c r="E7">
        <v>0</v>
      </c>
      <c r="F7" t="str">
        <v>Kévin </v>
      </c>
      <c r="G7" t="str">
        <v>Kévin </v>
      </c>
      <c r="H7" t="str">
        <v>Barbs</v>
      </c>
      <c r="I7" t="str">
        <v>Kévin</v>
      </c>
      <c r="J7">
        <v>0</v>
      </c>
      <c r="K7">
        <v>0</v>
      </c>
    </row>
    <row r="8" spans="2:11">
      <c r="B8" t="str">
        <v>Time2</v>
      </c>
      <c r="C8">
        <v>0</v>
      </c>
      <c r="D8" t="str">
        <v>2-330pm</v>
      </c>
      <c r="E8">
        <v>0</v>
      </c>
      <c r="F8" t="str">
        <v>1030-1230pm</v>
      </c>
      <c r="G8" t="str">
        <v>1030-1230pm</v>
      </c>
      <c r="H8" t="str">
        <v>1130am-1pm</v>
      </c>
      <c r="I8" t="str">
        <v>1130-2pm</v>
      </c>
      <c r="J8">
        <v>0</v>
      </c>
      <c r="K8">
        <v>0</v>
      </c>
    </row>
    <row r="9" spans="2:11">
      <c r="B9" t="str">
        <v>Date</v>
      </c>
      <c r="C9" t="str">
        <v>Tues</v>
      </c>
      <c r="D9">
        <v>45041</v>
      </c>
      <c r="E9">
        <v>45048</v>
      </c>
      <c r="F9">
        <v>45055</v>
      </c>
      <c r="G9">
        <v>45062</v>
      </c>
      <c r="H9">
        <v>45069</v>
      </c>
      <c r="I9">
        <v>45076</v>
      </c>
      <c r="J9">
        <v>45083</v>
      </c>
      <c r="K9">
        <v>45090</v>
      </c>
    </row>
    <row r="10" spans="2:11">
      <c r="B10" t="str">
        <v>Description</v>
      </c>
      <c r="C10">
        <v>0</v>
      </c>
      <c r="D10" t="str">
        <v>Module Intro Workshop</v>
      </c>
      <c r="E10" t="str">
        <v>WS Group Norms</v>
      </c>
      <c r="F10" t="str">
        <v>SLS Pitch Ideas </v>
      </c>
      <c r="G10" t="str">
        <v>Human Potential Part 2 MC</v>
      </c>
      <c r="H10" t="str">
        <v>Immigration visit</v>
      </c>
      <c r="I10" t="str">
        <v>High Performing Habits WS</v>
      </c>
      <c r="J10" t="str">
        <v>SLS</v>
      </c>
      <c r="K10" t="str">
        <v>Pitch Presentation</v>
      </c>
    </row>
    <row r="11" spans="2:11">
      <c r="B11" t="str">
        <v>Who</v>
      </c>
      <c r="C11">
        <v>0</v>
      </c>
      <c r="D11" t="str">
        <v>Barbs &amp; Kévin</v>
      </c>
      <c r="E11" t="str">
        <v>Barbs &amp; Kévin</v>
      </c>
      <c r="F11" t="str">
        <v>Barbs</v>
      </c>
      <c r="G11" t="str">
        <v>Kévin </v>
      </c>
      <c r="H11" t="str">
        <v>Hesdy </v>
      </c>
      <c r="I11" t="str">
        <v>Barbs</v>
      </c>
      <c r="J11" t="str">
        <v>Barbs &amp; Kévin</v>
      </c>
      <c r="K11" t="str">
        <v>Barbs &amp; Kévin</v>
      </c>
    </row>
    <row r="12" spans="2:11">
      <c r="B12" t="str">
        <v>Time</v>
      </c>
      <c r="C12">
        <v>0</v>
      </c>
      <c r="D12" t="str">
        <v>930-1130am</v>
      </c>
      <c r="E12" t="str">
        <v>930-1130</v>
      </c>
      <c r="F12" t="str">
        <v>930-11am</v>
      </c>
      <c r="G12" t="str">
        <v>930-1030am</v>
      </c>
      <c r="H12" t="str">
        <v>7am-12pm</v>
      </c>
      <c r="I12" t="str">
        <v>10am-12pm TBA</v>
      </c>
      <c r="J12" t="str">
        <v>930-12noon</v>
      </c>
      <c r="K12" t="str">
        <v>930-1230pm</v>
      </c>
    </row>
    <row r="13" spans="2:11">
      <c r="B13" t="str">
        <v>Description2</v>
      </c>
      <c r="C13">
        <v>0</v>
      </c>
      <c r="D13">
        <v>0</v>
      </c>
      <c r="E13">
        <v>0</v>
      </c>
      <c r="F13" t="str">
        <v>Peer Coaching 1: Coaching Skills</v>
      </c>
      <c r="G13" t="str">
        <v>Human Potential Part 2 WS</v>
      </c>
      <c r="H13" t="str">
        <v>Emotional Intelligence MC</v>
      </c>
      <c r="I13" t="str">
        <v>ONLINE on CAMPUS - Inspirational Talk: The Future of Work </v>
      </c>
      <c r="J13">
        <v>0</v>
      </c>
      <c r="K13">
        <v>0</v>
      </c>
    </row>
    <row r="14" spans="2:11">
      <c r="B14" t="str">
        <v>Who2</v>
      </c>
      <c r="C14">
        <v>0</v>
      </c>
      <c r="D14">
        <v>0</v>
      </c>
      <c r="E14">
        <v>0</v>
      </c>
      <c r="F14" t="str">
        <v>Kévin &amp; Barbs</v>
      </c>
      <c r="G14" t="str">
        <v>Kévin </v>
      </c>
      <c r="H14" t="str">
        <v>Barbs</v>
      </c>
      <c r="I14" t="str">
        <v>Lavinia Iosub</v>
      </c>
      <c r="J14">
        <v>0</v>
      </c>
      <c r="K14">
        <v>0</v>
      </c>
    </row>
    <row r="15" spans="2:11">
      <c r="B15" t="str">
        <v>Time2</v>
      </c>
      <c r="C15">
        <v>0</v>
      </c>
      <c r="D15">
        <v>0</v>
      </c>
      <c r="E15">
        <v>0</v>
      </c>
      <c r="F15" t="str">
        <v>1130-130pm</v>
      </c>
      <c r="G15" t="str">
        <v>1030-1230pm</v>
      </c>
      <c r="H15" t="str">
        <v>130-3pm</v>
      </c>
      <c r="I15" t="str">
        <v>1230-2pm TBA</v>
      </c>
      <c r="J15">
        <v>0</v>
      </c>
      <c r="K15">
        <v>0</v>
      </c>
    </row>
    <row r="16" spans="2:11">
      <c r="B16" t="str">
        <v>Description3</v>
      </c>
      <c r="C16">
        <v>0</v>
      </c>
      <c r="D16">
        <v>0</v>
      </c>
      <c r="E16">
        <v>0</v>
      </c>
      <c r="F16">
        <v>0</v>
      </c>
      <c r="G16">
        <v>0</v>
      </c>
      <c r="H16" t="str">
        <v>Coaching WS Peak States</v>
      </c>
      <c r="I16">
        <v>0</v>
      </c>
      <c r="J16">
        <v>0</v>
      </c>
      <c r="K16">
        <v>0</v>
      </c>
    </row>
    <row r="17" spans="2:11">
      <c r="B17" t="str">
        <v>Who3</v>
      </c>
      <c r="C17">
        <v>0</v>
      </c>
      <c r="D17">
        <v>0</v>
      </c>
      <c r="E17">
        <v>0</v>
      </c>
      <c r="F17">
        <v>0</v>
      </c>
      <c r="G17">
        <v>0</v>
      </c>
      <c r="H17" t="str">
        <v>Barbs:</v>
      </c>
      <c r="I17">
        <v>0</v>
      </c>
      <c r="J17">
        <v>0</v>
      </c>
      <c r="K17">
        <v>0</v>
      </c>
    </row>
    <row r="18" spans="2:11">
      <c r="B18" t="str">
        <v>Time3</v>
      </c>
      <c r="C18">
        <v>0</v>
      </c>
      <c r="D18">
        <v>0</v>
      </c>
      <c r="E18">
        <v>0</v>
      </c>
      <c r="F18">
        <v>0</v>
      </c>
      <c r="G18">
        <v>0</v>
      </c>
      <c r="H18" t="str">
        <v>3-430pm</v>
      </c>
      <c r="I18">
        <v>0</v>
      </c>
      <c r="J18">
        <v>0</v>
      </c>
      <c r="K18">
        <v>0</v>
      </c>
    </row>
    <row r="19" spans="2:11">
      <c r="B19" t="str">
        <v>Date</v>
      </c>
      <c r="C19" t="str">
        <v>Wed</v>
      </c>
      <c r="D19">
        <v>45042</v>
      </c>
      <c r="E19">
        <v>45049</v>
      </c>
      <c r="F19">
        <v>45056</v>
      </c>
      <c r="G19">
        <v>45063</v>
      </c>
      <c r="H19">
        <v>45070</v>
      </c>
      <c r="I19">
        <v>45077</v>
      </c>
      <c r="J19">
        <v>45084</v>
      </c>
      <c r="K19">
        <v>45091</v>
      </c>
    </row>
    <row r="20" spans="2:11">
      <c r="B20" t="str">
        <v>Description</v>
      </c>
      <c r="C20">
        <v>0</v>
      </c>
      <c r="D20" t="str">
        <v>Intro Coaching &amp; Leadership</v>
      </c>
      <c r="E20" t="str">
        <v>Values MC</v>
      </c>
      <c r="F20" t="str">
        <v>Peer Coaching 2: Coaching Skills</v>
      </c>
      <c r="G20" t="str">
        <v>Coaching WS 3 Coaching Demo</v>
      </c>
      <c r="H20" t="str">
        <v>Conscious Communication MC+WS</v>
      </c>
      <c r="I20" t="str">
        <v>Conflict Management MC</v>
      </c>
      <c r="J20" t="str">
        <v>SLS</v>
      </c>
      <c r="K20" t="str">
        <v>Pitch Presentation</v>
      </c>
    </row>
    <row r="21" spans="2:11">
      <c r="B21" t="str">
        <v>Who</v>
      </c>
      <c r="C21">
        <v>0</v>
      </c>
      <c r="D21" t="str">
        <v>Barbs</v>
      </c>
      <c r="E21" t="str">
        <v>Barbs</v>
      </c>
      <c r="F21" t="str">
        <v>Kévin &amp; Barbs</v>
      </c>
      <c r="G21" t="str">
        <v>Kévin </v>
      </c>
      <c r="H21" t="str">
        <v>Barbs</v>
      </c>
      <c r="I21" t="str">
        <v>Juna Mustad c/o BM</v>
      </c>
      <c r="J21" t="str">
        <v>Barbs &amp; Kévin</v>
      </c>
      <c r="K21" t="str">
        <v>Barbs &amp; Kévin</v>
      </c>
    </row>
    <row r="22" spans="2:11">
      <c r="B22" t="str">
        <v>Time</v>
      </c>
      <c r="C22">
        <v>0</v>
      </c>
      <c r="D22" t="str">
        <v>930-11am</v>
      </c>
      <c r="E22" t="str">
        <v>930-1030am</v>
      </c>
      <c r="F22" t="str">
        <v>930-1130am</v>
      </c>
      <c r="G22" t="str">
        <v>930-1230noon</v>
      </c>
      <c r="H22" t="str">
        <v>930am-1230noon</v>
      </c>
      <c r="I22" t="str">
        <v>930-1130am</v>
      </c>
      <c r="J22" t="str">
        <v>930-12noon</v>
      </c>
      <c r="K22" t="str">
        <v>930-12noon</v>
      </c>
    </row>
    <row r="23" spans="2:11">
      <c r="B23" t="str">
        <v>Description2</v>
      </c>
      <c r="C23">
        <v>0</v>
      </c>
      <c r="D23" t="str">
        <v xml:space="preserve">Watch Group Assignments </v>
      </c>
      <c r="E23" t="str">
        <v>Values WS</v>
      </c>
      <c r="F23" t="str">
        <v>Mid-term evaluation | Date and time TBC</v>
      </c>
      <c r="G23">
        <v>0</v>
      </c>
      <c r="H23">
        <v>0</v>
      </c>
      <c r="I23" t="str">
        <v>Conflict Management WS</v>
      </c>
      <c r="J23">
        <v>0</v>
      </c>
      <c r="K23">
        <v>0</v>
      </c>
    </row>
    <row r="24" spans="2:11">
      <c r="B24" t="str">
        <v>Who2</v>
      </c>
      <c r="C24">
        <v>0</v>
      </c>
      <c r="D24" t="str">
        <v>Pre-recorded</v>
      </c>
      <c r="E24" t="str">
        <v>Barbs</v>
      </c>
      <c r="F24" t="str">
        <v>Mark &amp; Budi</v>
      </c>
      <c r="G24">
        <v>0</v>
      </c>
      <c r="H24">
        <v>0</v>
      </c>
      <c r="I24" t="str">
        <v>Juna Mustad c/o BM</v>
      </c>
      <c r="J24">
        <v>0</v>
      </c>
      <c r="K24">
        <v>0</v>
      </c>
    </row>
    <row r="25" spans="2:11">
      <c r="B25" t="str">
        <v>Time2</v>
      </c>
      <c r="C25">
        <v>0</v>
      </c>
      <c r="D25" t="str">
        <v xml:space="preserve">2pm - 4pm </v>
      </c>
      <c r="E25" t="str">
        <v>1030-1230pm</v>
      </c>
      <c r="F25" t="str">
        <v>12-1230pm</v>
      </c>
      <c r="G25">
        <v>0</v>
      </c>
      <c r="H25">
        <v>0</v>
      </c>
      <c r="I25" t="str">
        <v>1130-130pm</v>
      </c>
      <c r="J25">
        <v>0</v>
      </c>
      <c r="K25">
        <v>0</v>
      </c>
    </row>
    <row r="26" spans="2:11">
      <c r="B26" t="str">
        <v>Date</v>
      </c>
      <c r="C26" t="str">
        <v>Thurs</v>
      </c>
      <c r="D26">
        <v>45043</v>
      </c>
      <c r="E26">
        <v>45050</v>
      </c>
      <c r="F26">
        <v>45057</v>
      </c>
      <c r="G26">
        <v>45064</v>
      </c>
      <c r="H26">
        <v>45071</v>
      </c>
      <c r="I26">
        <v>45078</v>
      </c>
      <c r="J26">
        <v>45085</v>
      </c>
      <c r="K26">
        <v>45092</v>
      </c>
    </row>
    <row r="27" spans="2:11">
      <c r="B27" t="str">
        <v>Description</v>
      </c>
      <c r="C27">
        <v>0</v>
      </c>
      <c r="D27" t="str">
        <v>Human (Maslow) Motivation  MC </v>
      </c>
      <c r="E27" t="str">
        <v>Ikigai  MC</v>
      </c>
      <c r="F27" t="str">
        <v>Presentations Skills MC</v>
      </c>
      <c r="G27" t="str">
        <v>HOLIDAY</v>
      </c>
      <c r="H27" t="str">
        <v>Field trip # 4 CSR</v>
      </c>
      <c r="I27" t="str">
        <v>HOLIDAY</v>
      </c>
      <c r="J27" t="str">
        <v>-</v>
      </c>
      <c r="K27" t="str">
        <v>Adjourning Team Huddle</v>
      </c>
    </row>
    <row r="28" spans="2:11">
      <c r="B28" t="str">
        <v>Who</v>
      </c>
      <c r="C28">
        <v>0</v>
      </c>
      <c r="D28" t="str">
        <v>Barbs</v>
      </c>
      <c r="E28" t="str">
        <v>Barbs</v>
      </c>
      <c r="F28" t="str">
        <v>GL: Felix Schaefer</v>
      </c>
      <c r="G28">
        <v>0</v>
      </c>
      <c r="H28" t="str">
        <v>With the EIA group</v>
      </c>
      <c r="I28">
        <v>0</v>
      </c>
      <c r="J28">
        <v>0</v>
      </c>
      <c r="K28" t="str">
        <v>Barbs &amp; Kévin</v>
      </c>
    </row>
    <row r="29" spans="2:11">
      <c r="B29" t="str">
        <v>Time</v>
      </c>
      <c r="C29">
        <v>0</v>
      </c>
      <c r="D29" t="str">
        <v>930-1130am</v>
      </c>
      <c r="E29" t="str">
        <v>930-1030</v>
      </c>
      <c r="F29" t="str">
        <v>930-1030am</v>
      </c>
      <c r="G29">
        <v>0</v>
      </c>
      <c r="H29" t="str">
        <v>830-12noon TBA</v>
      </c>
      <c r="I29">
        <v>0</v>
      </c>
      <c r="J29">
        <v>0</v>
      </c>
      <c r="K29" t="str">
        <v>930-1130am</v>
      </c>
    </row>
    <row r="30" spans="2:11">
      <c r="B30" t="str">
        <v>Description2</v>
      </c>
      <c r="C30">
        <v>0</v>
      </c>
      <c r="D30" t="str">
        <v>Assignments Q&amp;A</v>
      </c>
      <c r="E30" t="str">
        <v>PB WS3  Ikigai</v>
      </c>
      <c r="F30" t="str">
        <v>Personal Brand (WS) Presentation Skills 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2:11">
      <c r="B31" t="str">
        <v>Who2</v>
      </c>
      <c r="C31">
        <v>0</v>
      </c>
      <c r="D31" t="str">
        <v>Barbs</v>
      </c>
      <c r="E31" t="str">
        <v>Barbs</v>
      </c>
      <c r="F31" t="str">
        <v>GL: Felix Schaefer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>
      <c r="B32" t="str">
        <v>Time2</v>
      </c>
      <c r="C32">
        <v>0</v>
      </c>
      <c r="D32" t="str">
        <v>1130-12noon</v>
      </c>
      <c r="E32" t="str">
        <v>1030-12noon</v>
      </c>
      <c r="F32" t="str">
        <v>1030-1230pm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2:11">
      <c r="B33" t="str">
        <v>Description3</v>
      </c>
      <c r="C33">
        <v>0</v>
      </c>
      <c r="D33">
        <v>0</v>
      </c>
      <c r="E33">
        <v>0</v>
      </c>
      <c r="F33" t="str">
        <v>Visa Document Submission in Lobby: 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>
      <c r="B34" t="str">
        <v>Who3</v>
      </c>
      <c r="C34">
        <v>0</v>
      </c>
      <c r="D34">
        <v>0</v>
      </c>
      <c r="E34">
        <v>0</v>
      </c>
      <c r="F34" t="str">
        <v>Hesdy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2:11">
      <c r="B35" t="str">
        <v>Time3</v>
      </c>
      <c r="C35">
        <v>0</v>
      </c>
      <c r="D35">
        <v>0</v>
      </c>
      <c r="E35">
        <v>0</v>
      </c>
      <c r="F35" t="str">
        <v>1230-115 pm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>
      <c r="B36" t="str">
        <v>Date</v>
      </c>
      <c r="C36" t="str">
        <v>Fri</v>
      </c>
      <c r="D36">
        <v>45044</v>
      </c>
      <c r="E36">
        <v>45051</v>
      </c>
      <c r="F36">
        <v>45058</v>
      </c>
      <c r="G36">
        <v>45065</v>
      </c>
      <c r="H36">
        <v>45072</v>
      </c>
      <c r="I36">
        <v>45079</v>
      </c>
      <c r="J36">
        <v>45086</v>
      </c>
      <c r="K36">
        <v>45093</v>
      </c>
    </row>
    <row r="37" spans="2:11">
      <c r="B37" t="str">
        <v>Description</v>
      </c>
      <c r="C37">
        <v>0</v>
      </c>
      <c r="D37" t="str">
        <v>Field Trip # 1 - Bali Village</v>
      </c>
      <c r="E37" t="str">
        <v>Personality Profiling– MC Myers Briggs</v>
      </c>
      <c r="F37" t="str">
        <v>Field trip # 2 - Five elements</v>
      </c>
      <c r="G37" t="str">
        <v>-</v>
      </c>
      <c r="H37" t="str">
        <v>Field trip # 5 - Bali Meditation Center</v>
      </c>
      <c r="I37" t="str">
        <v>-</v>
      </c>
      <c r="J37" t="str">
        <v>-</v>
      </c>
      <c r="K37" t="str">
        <v>-</v>
      </c>
    </row>
    <row r="38" spans="2:11">
      <c r="B38" t="str">
        <v>Who</v>
      </c>
      <c r="C38">
        <v>0</v>
      </c>
      <c r="D38" t="str">
        <v>The Uni</v>
      </c>
      <c r="E38" t="str">
        <v>GL: Dian</v>
      </c>
      <c r="F38" t="str">
        <v>Barbs &amp; Kévin</v>
      </c>
      <c r="G38">
        <v>0</v>
      </c>
      <c r="H38" t="str">
        <v>9-12noon</v>
      </c>
      <c r="I38">
        <v>0</v>
      </c>
      <c r="J38">
        <v>0</v>
      </c>
      <c r="K38">
        <v>0</v>
      </c>
    </row>
    <row r="39" spans="2:11">
      <c r="B39" t="str">
        <v>Time</v>
      </c>
      <c r="C39">
        <v>0</v>
      </c>
      <c r="D39" t="str">
        <v>9am-4pm</v>
      </c>
      <c r="E39" t="str">
        <v>930-1030am</v>
      </c>
      <c r="F39" t="str">
        <v>9-330pm</v>
      </c>
      <c r="G39">
        <v>0</v>
      </c>
      <c r="H39" t="str">
        <v>(Pick-up at 730am for the students)</v>
      </c>
      <c r="I39">
        <v>0</v>
      </c>
      <c r="J39">
        <v>0</v>
      </c>
      <c r="K39">
        <v>0</v>
      </c>
    </row>
    <row r="40" spans="2:11">
      <c r="B40" t="str">
        <v>Description2</v>
      </c>
      <c r="C40">
        <v>0</v>
      </c>
      <c r="D40">
        <v>0</v>
      </c>
      <c r="E40" t="str">
        <v>Myers Briggs (MBTI) WS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>
      <c r="B41" t="str">
        <v>Who2</v>
      </c>
      <c r="C41">
        <v>0</v>
      </c>
      <c r="D41">
        <v>0</v>
      </c>
      <c r="E41" t="str">
        <v>GL: Dian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2:11">
      <c r="B42" t="str">
        <v>Time2</v>
      </c>
      <c r="C42">
        <v>0</v>
      </c>
      <c r="D42">
        <v>0</v>
      </c>
      <c r="E42" t="str">
        <v>1030-1230pm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4F4EB-E9A4-415D-AEEC-80918E2C5697}">
  <dimension ref="B2:E9"/>
  <sheetViews>
    <sheetView workbookViewId="0">
      <selection activeCell="F18" sqref="F18"/>
    </sheetView>
  </sheetViews>
  <sheetFormatPr defaultRowHeight="14.4"/>
  <cols>
    <col min="2" max="2" width="10.109375" bestFit="1" customWidth="1"/>
    <col min="3" max="3" width="21.77734375" bestFit="1" customWidth="1"/>
    <col min="4" max="4" width="7.21875" bestFit="1" customWidth="1"/>
    <col min="5" max="5" width="8.6640625" bestFit="1" customWidth="1"/>
    <col min="6" max="6" width="24.44140625" bestFit="1" customWidth="1"/>
    <col min="7" max="7" width="12.109375" bestFit="1" customWidth="1"/>
    <col min="8" max="8" width="8.21875" bestFit="1" customWidth="1"/>
    <col min="9" max="9" width="10.109375" bestFit="1" customWidth="1"/>
    <col min="10" max="10" width="20.6640625" bestFit="1" customWidth="1"/>
    <col min="11" max="11" width="12.109375" bestFit="1" customWidth="1"/>
    <col min="12" max="12" width="11.21875" bestFit="1" customWidth="1"/>
    <col min="13" max="18" width="2" bestFit="1" customWidth="1"/>
    <col min="19" max="19" width="10.109375" bestFit="1" customWidth="1"/>
    <col min="20" max="20" width="24.21875" bestFit="1" customWidth="1"/>
    <col min="21" max="21" width="5.5546875" bestFit="1" customWidth="1"/>
    <col min="22" max="22" width="9.21875" bestFit="1" customWidth="1"/>
    <col min="23" max="23" width="23" bestFit="1" customWidth="1"/>
    <col min="24" max="24" width="11.6640625" bestFit="1" customWidth="1"/>
    <col min="25" max="26" width="10.109375" bestFit="1" customWidth="1"/>
    <col min="27" max="27" width="28.77734375" bestFit="1" customWidth="1"/>
    <col min="28" max="28" width="5.5546875" bestFit="1" customWidth="1"/>
    <col min="29" max="29" width="11.21875" bestFit="1" customWidth="1"/>
    <col min="30" max="30" width="15.33203125" bestFit="1" customWidth="1"/>
    <col min="31" max="31" width="5.5546875" bestFit="1" customWidth="1"/>
    <col min="32" max="32" width="11.88671875" bestFit="1" customWidth="1"/>
    <col min="33" max="35" width="2" bestFit="1" customWidth="1"/>
    <col min="36" max="36" width="10.109375" bestFit="1" customWidth="1"/>
    <col min="37" max="37" width="21.88671875" bestFit="1" customWidth="1"/>
    <col min="38" max="38" width="7.21875" bestFit="1" customWidth="1"/>
    <col min="39" max="39" width="8.77734375" bestFit="1" customWidth="1"/>
    <col min="40" max="42" width="2" bestFit="1" customWidth="1"/>
  </cols>
  <sheetData>
    <row r="2" spans="2:5">
      <c r="B2" s="22">
        <v>45040</v>
      </c>
      <c r="C2" t="s">
        <v>9</v>
      </c>
      <c r="D2" t="s">
        <v>10</v>
      </c>
      <c r="E2" t="s">
        <v>11</v>
      </c>
    </row>
    <row r="3" spans="2:5">
      <c r="C3" t="s">
        <v>12</v>
      </c>
      <c r="D3" t="s">
        <v>13</v>
      </c>
      <c r="E3" t="s">
        <v>14</v>
      </c>
    </row>
    <row r="4" spans="2:5">
      <c r="B4" s="22">
        <v>45041</v>
      </c>
      <c r="C4" t="s">
        <v>33</v>
      </c>
      <c r="D4" t="s">
        <v>13</v>
      </c>
      <c r="E4" t="s">
        <v>34</v>
      </c>
    </row>
    <row r="5" spans="2:5">
      <c r="B5" s="22">
        <v>45042</v>
      </c>
      <c r="C5" t="s">
        <v>52</v>
      </c>
      <c r="D5" t="s">
        <v>23</v>
      </c>
      <c r="E5" t="s">
        <v>25</v>
      </c>
    </row>
    <row r="6" spans="2:5">
      <c r="C6" t="s">
        <v>102</v>
      </c>
      <c r="D6" t="s">
        <v>103</v>
      </c>
      <c r="E6" t="s">
        <v>104</v>
      </c>
    </row>
    <row r="7" spans="2:5">
      <c r="B7" s="22">
        <v>45043</v>
      </c>
      <c r="C7" s="22" t="s">
        <v>107</v>
      </c>
      <c r="D7" t="s">
        <v>23</v>
      </c>
      <c r="E7" t="s">
        <v>34</v>
      </c>
    </row>
    <row r="8" spans="2:5">
      <c r="C8" t="s">
        <v>64</v>
      </c>
      <c r="D8" t="s">
        <v>23</v>
      </c>
      <c r="E8" t="s">
        <v>65</v>
      </c>
    </row>
    <row r="9" spans="2:5">
      <c r="B9" s="22">
        <v>45044</v>
      </c>
      <c r="C9" s="22" t="s">
        <v>109</v>
      </c>
      <c r="D9" t="s">
        <v>10</v>
      </c>
      <c r="E9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Sheet6</vt:lpstr>
      <vt:lpstr>Sheet4</vt:lpstr>
      <vt:lpstr>Sheet3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</dc:creator>
  <cp:lastModifiedBy>Konrad</cp:lastModifiedBy>
  <dcterms:created xsi:type="dcterms:W3CDTF">2023-04-19T06:03:49Z</dcterms:created>
  <dcterms:modified xsi:type="dcterms:W3CDTF">2023-04-20T07:19:16Z</dcterms:modified>
</cp:coreProperties>
</file>